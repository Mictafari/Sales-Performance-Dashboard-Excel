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bronz\Desktop\"/>
    </mc:Choice>
  </mc:AlternateContent>
  <xr:revisionPtr revIDLastSave="0" documentId="13_ncr:1_{4EB141BD-15DA-4DDC-BCEF-DC8CA4A4A0CA}" xr6:coauthVersionLast="47" xr6:coauthVersionMax="47" xr10:uidLastSave="{00000000-0000-0000-0000-000000000000}"/>
  <bookViews>
    <workbookView xWindow="-120" yWindow="-120" windowWidth="29040" windowHeight="16440" activeTab="2" xr2:uid="{8769E176-86A7-44A5-AF54-A9E108DD8687}"/>
  </bookViews>
  <sheets>
    <sheet name="Pivot Tables " sheetId="2" r:id="rId1"/>
    <sheet name="Dashboard" sheetId="4" r:id="rId2"/>
    <sheet name="Table Sheet" sheetId="1" r:id="rId3"/>
  </sheets>
  <definedNames>
    <definedName name="Slicer_Months">#N/A</definedName>
    <definedName name="Slicer_Product">#N/A</definedName>
    <definedName name="Slicer_Region">#N/A</definedName>
  </definedNames>
  <calcPr calcId="191029"/>
  <pivotCaches>
    <pivotCache cacheId="1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4" l="1"/>
  <c r="Q5" i="4"/>
  <c r="Q4" i="4"/>
  <c r="Q3" i="4"/>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alcChain>
</file>

<file path=xl/sharedStrings.xml><?xml version="1.0" encoding="utf-8"?>
<sst xmlns="http://schemas.openxmlformats.org/spreadsheetml/2006/main" count="241" uniqueCount="35">
  <si>
    <t>OrderID</t>
  </si>
  <si>
    <t>OrderDate</t>
  </si>
  <si>
    <t>Region</t>
  </si>
  <si>
    <t>Product</t>
  </si>
  <si>
    <t>Sales</t>
  </si>
  <si>
    <t>North</t>
  </si>
  <si>
    <t>Laptop</t>
  </si>
  <si>
    <t>South</t>
  </si>
  <si>
    <t>Mouse</t>
  </si>
  <si>
    <t>East</t>
  </si>
  <si>
    <t>Keyboard</t>
  </si>
  <si>
    <t>West</t>
  </si>
  <si>
    <t>Monitor</t>
  </si>
  <si>
    <t>Pen</t>
  </si>
  <si>
    <t>Row Labels</t>
  </si>
  <si>
    <t>Jan</t>
  </si>
  <si>
    <t>Feb</t>
  </si>
  <si>
    <t>Mar</t>
  </si>
  <si>
    <t>Apr</t>
  </si>
  <si>
    <t>May</t>
  </si>
  <si>
    <t>Jun</t>
  </si>
  <si>
    <t>Jul</t>
  </si>
  <si>
    <t>Aug</t>
  </si>
  <si>
    <t>Sep</t>
  </si>
  <si>
    <t>Oct</t>
  </si>
  <si>
    <t>Nov</t>
  </si>
  <si>
    <t>Dec</t>
  </si>
  <si>
    <t>Grand Total</t>
  </si>
  <si>
    <t>Months</t>
  </si>
  <si>
    <t>Sum of Sales</t>
  </si>
  <si>
    <t>Total Sales</t>
  </si>
  <si>
    <t>Total Orders</t>
  </si>
  <si>
    <t>Top Product</t>
  </si>
  <si>
    <t>Average Sale</t>
  </si>
  <si>
    <t>SALES KPI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</si>
</sst>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6" x14ac:knownFonts="1">
    <font>
      <sz val="11"/>
      <color theme="1"/>
      <name val="Aptos Narrow"/>
      <family val="2"/>
      <scheme val="minor"/>
    </font>
    <font>
      <sz val="11"/>
      <color theme="1"/>
      <name val="Aptos Narrow"/>
      <family val="2"/>
      <scheme val="minor"/>
    </font>
    <font>
      <sz val="12"/>
      <color theme="1"/>
      <name val="Times New Roman"/>
      <family val="1"/>
    </font>
    <font>
      <b/>
      <sz val="12"/>
      <color theme="1"/>
      <name val="Times New Roman"/>
      <family val="1"/>
    </font>
    <font>
      <sz val="12"/>
      <color theme="4" tint="-0.249977111117893"/>
      <name val="Times New Roman"/>
      <family val="1"/>
    </font>
    <font>
      <sz val="8"/>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2" fillId="0" borderId="0" xfId="0" applyFont="1"/>
    <xf numFmtId="14" fontId="2" fillId="0" borderId="0" xfId="0" applyNumberFormat="1" applyFont="1"/>
    <xf numFmtId="0" fontId="2" fillId="0" borderId="0" xfId="0" pivotButton="1" applyFont="1"/>
    <xf numFmtId="0" fontId="2" fillId="0" borderId="0" xfId="0" applyFont="1" applyAlignment="1">
      <alignment horizontal="left"/>
    </xf>
    <xf numFmtId="164" fontId="2" fillId="0" borderId="0" xfId="0" applyNumberFormat="1" applyFont="1"/>
    <xf numFmtId="0" fontId="3" fillId="3" borderId="0" xfId="0" applyFont="1" applyFill="1" applyAlignment="1">
      <alignment horizontal="center"/>
    </xf>
    <xf numFmtId="0" fontId="0" fillId="3" borderId="0" xfId="0" applyFill="1" applyAlignment="1">
      <alignment horizontal="center"/>
    </xf>
    <xf numFmtId="0" fontId="4" fillId="2" borderId="1" xfId="0" applyFont="1" applyFill="1" applyBorder="1"/>
    <xf numFmtId="0" fontId="4" fillId="0" borderId="1" xfId="0" applyFont="1" applyBorder="1"/>
    <xf numFmtId="0" fontId="4" fillId="0" borderId="1" xfId="0" applyFont="1" applyBorder="1" applyAlignment="1">
      <alignment horizontal="center"/>
    </xf>
    <xf numFmtId="44" fontId="4" fillId="2" borderId="1" xfId="1" applyFont="1" applyFill="1" applyBorder="1" applyAlignment="1">
      <alignment horizontal="center"/>
    </xf>
    <xf numFmtId="44" fontId="4" fillId="0" borderId="1" xfId="1" applyFont="1" applyBorder="1" applyAlignment="1">
      <alignment horizontal="center"/>
    </xf>
  </cellXfs>
  <cellStyles count="2">
    <cellStyle name="Currency" xfId="1" builtinId="4"/>
    <cellStyle name="Normal" xfId="0" builtinId="0"/>
  </cellStyles>
  <dxfs count="385">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quot;$&quot;#,##0.00"/>
    </dxf>
    <dxf>
      <numFmt numFmtId="164" formatCode="&quot;$&quot;#,##0.00"/>
    </dxf>
    <dxf>
      <numFmt numFmtId="164" formatCode="&quot;$&quot;#,##0.00"/>
    </dxf>
    <dxf>
      <numFmt numFmtId="164" formatCode="&quot;$&quot;#,##0.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19" formatCode="m/d/yyyy"/>
    </dxf>
    <dxf>
      <font>
        <strike val="0"/>
        <outline val="0"/>
        <shadow val="0"/>
        <u val="none"/>
        <vertAlign val="baseline"/>
        <sz val="12"/>
        <color theme="1"/>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Sales Performance Dashboard.xlsx]Pivot Tables !Salesbymonth</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effectLst/>
              </a:rPr>
              <a:t>Sales by </a:t>
            </a:r>
            <a:r>
              <a:rPr lang="en-US" b="1">
                <a:effectLst/>
                <a:latin typeface="Times New Roman" panose="02020603050405020304" pitchFamily="18" charset="0"/>
                <a:cs typeface="Times New Roman" panose="02020603050405020304" pitchFamily="18" charset="0"/>
              </a:rPr>
              <a:t>Month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'!$B$3</c:f>
              <c:strCache>
                <c:ptCount val="1"/>
                <c:pt idx="0">
                  <c:v>Total</c:v>
                </c:pt>
              </c:strCache>
            </c:strRef>
          </c:tx>
          <c:spPr>
            <a:ln w="28575" cap="rnd">
              <a:solidFill>
                <a:schemeClr val="accent1"/>
              </a:solidFill>
              <a:round/>
            </a:ln>
            <a:effectLst/>
          </c:spPr>
          <c:marker>
            <c:symbol val="none"/>
          </c:marker>
          <c:cat>
            <c:strRef>
              <c:f>'Pivot Tables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'!$B$4:$B$16</c:f>
              <c:numCache>
                <c:formatCode>"$"#,##0.00</c:formatCode>
                <c:ptCount val="12"/>
                <c:pt idx="0">
                  <c:v>5202</c:v>
                </c:pt>
                <c:pt idx="1">
                  <c:v>5285</c:v>
                </c:pt>
                <c:pt idx="2">
                  <c:v>6333</c:v>
                </c:pt>
                <c:pt idx="3">
                  <c:v>4526</c:v>
                </c:pt>
                <c:pt idx="4">
                  <c:v>6240</c:v>
                </c:pt>
                <c:pt idx="5">
                  <c:v>5202</c:v>
                </c:pt>
                <c:pt idx="6">
                  <c:v>4670</c:v>
                </c:pt>
                <c:pt idx="7">
                  <c:v>2812</c:v>
                </c:pt>
                <c:pt idx="8">
                  <c:v>2808</c:v>
                </c:pt>
                <c:pt idx="9">
                  <c:v>3445</c:v>
                </c:pt>
                <c:pt idx="10">
                  <c:v>2598</c:v>
                </c:pt>
                <c:pt idx="11">
                  <c:v>2583</c:v>
                </c:pt>
              </c:numCache>
            </c:numRef>
          </c:val>
          <c:smooth val="0"/>
          <c:extLst>
            <c:ext xmlns:c16="http://schemas.microsoft.com/office/drawing/2014/chart" uri="{C3380CC4-5D6E-409C-BE32-E72D297353CC}">
              <c16:uniqueId val="{00000000-DDCC-44A4-B694-E98BC9E94401}"/>
            </c:ext>
          </c:extLst>
        </c:ser>
        <c:dLbls>
          <c:showLegendKey val="0"/>
          <c:showVal val="0"/>
          <c:showCatName val="0"/>
          <c:showSerName val="0"/>
          <c:showPercent val="0"/>
          <c:showBubbleSize val="0"/>
        </c:dLbls>
        <c:smooth val="0"/>
        <c:axId val="1393339551"/>
        <c:axId val="1393350111"/>
      </c:lineChart>
      <c:catAx>
        <c:axId val="139333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350111"/>
        <c:crosses val="autoZero"/>
        <c:auto val="1"/>
        <c:lblAlgn val="ctr"/>
        <c:lblOffset val="100"/>
        <c:noMultiLvlLbl val="0"/>
      </c:catAx>
      <c:valAx>
        <c:axId val="13933501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33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Sales Performance Dashboard.xlsx]Pivot Tables !Salesbyregion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effectLst/>
                <a:latin typeface="Times New Roman" panose="02020603050405020304" pitchFamily="18" charset="0"/>
                <a:cs typeface="Times New Roman" panose="02020603050405020304" pitchFamily="18" charset="0"/>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'!$B$21</c:f>
              <c:strCache>
                <c:ptCount val="1"/>
                <c:pt idx="0">
                  <c:v>Total</c:v>
                </c:pt>
              </c:strCache>
            </c:strRef>
          </c:tx>
          <c:spPr>
            <a:solidFill>
              <a:schemeClr val="accent1"/>
            </a:solidFill>
            <a:ln>
              <a:noFill/>
            </a:ln>
            <a:effectLst/>
          </c:spPr>
          <c:invertIfNegative val="0"/>
          <c:cat>
            <c:strRef>
              <c:f>'Pivot Tables '!$A$22:$A$26</c:f>
              <c:strCache>
                <c:ptCount val="4"/>
                <c:pt idx="0">
                  <c:v>East</c:v>
                </c:pt>
                <c:pt idx="1">
                  <c:v>North</c:v>
                </c:pt>
                <c:pt idx="2">
                  <c:v>South</c:v>
                </c:pt>
                <c:pt idx="3">
                  <c:v>West</c:v>
                </c:pt>
              </c:strCache>
            </c:strRef>
          </c:cat>
          <c:val>
            <c:numRef>
              <c:f>'Pivot Tables '!$B$22:$B$26</c:f>
              <c:numCache>
                <c:formatCode>"$"#,##0.00</c:formatCode>
                <c:ptCount val="4"/>
                <c:pt idx="0">
                  <c:v>12508</c:v>
                </c:pt>
                <c:pt idx="1">
                  <c:v>12870</c:v>
                </c:pt>
                <c:pt idx="2">
                  <c:v>12939</c:v>
                </c:pt>
                <c:pt idx="3">
                  <c:v>13387</c:v>
                </c:pt>
              </c:numCache>
            </c:numRef>
          </c:val>
          <c:extLst>
            <c:ext xmlns:c16="http://schemas.microsoft.com/office/drawing/2014/chart" uri="{C3380CC4-5D6E-409C-BE32-E72D297353CC}">
              <c16:uniqueId val="{00000000-949F-4596-BFAD-A79C5B133611}"/>
            </c:ext>
          </c:extLst>
        </c:ser>
        <c:dLbls>
          <c:showLegendKey val="0"/>
          <c:showVal val="0"/>
          <c:showCatName val="0"/>
          <c:showSerName val="0"/>
          <c:showPercent val="0"/>
          <c:showBubbleSize val="0"/>
        </c:dLbls>
        <c:gapWidth val="219"/>
        <c:overlap val="-27"/>
        <c:axId val="1393376991"/>
        <c:axId val="1393376031"/>
      </c:barChart>
      <c:catAx>
        <c:axId val="139337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376031"/>
        <c:crosses val="autoZero"/>
        <c:auto val="1"/>
        <c:lblAlgn val="ctr"/>
        <c:lblOffset val="100"/>
        <c:noMultiLvlLbl val="0"/>
      </c:catAx>
      <c:valAx>
        <c:axId val="1393376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37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Sales Performance Dashboard.xlsx]Pivot Tables !Salesbyproduct</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effectLst/>
                <a:latin typeface="Times New Roman" panose="02020603050405020304" pitchFamily="18" charset="0"/>
                <a:cs typeface="Times New Roman" panose="02020603050405020304" pitchFamily="18" charset="0"/>
              </a:rPr>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'!$O$4</c:f>
              <c:strCache>
                <c:ptCount val="1"/>
                <c:pt idx="0">
                  <c:v>Total</c:v>
                </c:pt>
              </c:strCache>
            </c:strRef>
          </c:tx>
          <c:spPr>
            <a:solidFill>
              <a:schemeClr val="accent1"/>
            </a:solidFill>
            <a:ln>
              <a:noFill/>
            </a:ln>
            <a:effectLst/>
          </c:spPr>
          <c:invertIfNegative val="0"/>
          <c:cat>
            <c:strRef>
              <c:f>'Pivot Tables '!$N$5:$N$10</c:f>
              <c:strCache>
                <c:ptCount val="5"/>
                <c:pt idx="0">
                  <c:v>Keyboard</c:v>
                </c:pt>
                <c:pt idx="1">
                  <c:v>Laptop</c:v>
                </c:pt>
                <c:pt idx="2">
                  <c:v>Monitor</c:v>
                </c:pt>
                <c:pt idx="3">
                  <c:v>Mouse</c:v>
                </c:pt>
                <c:pt idx="4">
                  <c:v>Pen</c:v>
                </c:pt>
              </c:strCache>
            </c:strRef>
          </c:cat>
          <c:val>
            <c:numRef>
              <c:f>'Pivot Tables '!$O$5:$O$10</c:f>
              <c:numCache>
                <c:formatCode>"$"#,##0.00</c:formatCode>
                <c:ptCount val="5"/>
                <c:pt idx="0">
                  <c:v>6518</c:v>
                </c:pt>
                <c:pt idx="1">
                  <c:v>24190</c:v>
                </c:pt>
                <c:pt idx="2">
                  <c:v>16046</c:v>
                </c:pt>
                <c:pt idx="3">
                  <c:v>3851</c:v>
                </c:pt>
                <c:pt idx="4">
                  <c:v>1099</c:v>
                </c:pt>
              </c:numCache>
            </c:numRef>
          </c:val>
          <c:extLst>
            <c:ext xmlns:c16="http://schemas.microsoft.com/office/drawing/2014/chart" uri="{C3380CC4-5D6E-409C-BE32-E72D297353CC}">
              <c16:uniqueId val="{00000000-CA69-4BF3-9DD3-C3D880A8520B}"/>
            </c:ext>
          </c:extLst>
        </c:ser>
        <c:dLbls>
          <c:showLegendKey val="0"/>
          <c:showVal val="0"/>
          <c:showCatName val="0"/>
          <c:showSerName val="0"/>
          <c:showPercent val="0"/>
          <c:showBubbleSize val="0"/>
        </c:dLbls>
        <c:gapWidth val="182"/>
        <c:axId val="1393388991"/>
        <c:axId val="1393388031"/>
      </c:barChart>
      <c:catAx>
        <c:axId val="1393388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388031"/>
        <c:crosses val="autoZero"/>
        <c:auto val="1"/>
        <c:lblAlgn val="ctr"/>
        <c:lblOffset val="100"/>
        <c:noMultiLvlLbl val="0"/>
      </c:catAx>
      <c:valAx>
        <c:axId val="139338803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38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0</xdr:colOff>
      <xdr:row>16</xdr:row>
      <xdr:rowOff>9525</xdr:rowOff>
    </xdr:from>
    <xdr:to>
      <xdr:col>21</xdr:col>
      <xdr:colOff>323849</xdr:colOff>
      <xdr:row>31</xdr:row>
      <xdr:rowOff>180975</xdr:rowOff>
    </xdr:to>
    <xdr:graphicFrame macro="">
      <xdr:nvGraphicFramePr>
        <xdr:cNvPr id="2" name="Chart 1">
          <a:extLst>
            <a:ext uri="{FF2B5EF4-FFF2-40B4-BE49-F238E27FC236}">
              <a16:creationId xmlns:a16="http://schemas.microsoft.com/office/drawing/2014/main" id="{3AC9222A-6592-412F-944C-59BB029B1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xdr:colOff>
      <xdr:row>16</xdr:row>
      <xdr:rowOff>9525</xdr:rowOff>
    </xdr:from>
    <xdr:to>
      <xdr:col>5</xdr:col>
      <xdr:colOff>466725</xdr:colOff>
      <xdr:row>32</xdr:row>
      <xdr:rowOff>9525</xdr:rowOff>
    </xdr:to>
    <xdr:graphicFrame macro="">
      <xdr:nvGraphicFramePr>
        <xdr:cNvPr id="3" name="Chart 2">
          <a:extLst>
            <a:ext uri="{FF2B5EF4-FFF2-40B4-BE49-F238E27FC236}">
              <a16:creationId xmlns:a16="http://schemas.microsoft.com/office/drawing/2014/main" id="{F781BB72-8C07-46E6-8702-6179544CF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123826</xdr:colOff>
      <xdr:row>16</xdr:row>
      <xdr:rowOff>9526</xdr:rowOff>
    </xdr:from>
    <xdr:to>
      <xdr:col>13</xdr:col>
      <xdr:colOff>590550</xdr:colOff>
      <xdr:row>32</xdr:row>
      <xdr:rowOff>9526</xdr:rowOff>
    </xdr:to>
    <xdr:graphicFrame macro="">
      <xdr:nvGraphicFramePr>
        <xdr:cNvPr id="4" name="Chart 3">
          <a:extLst>
            <a:ext uri="{FF2B5EF4-FFF2-40B4-BE49-F238E27FC236}">
              <a16:creationId xmlns:a16="http://schemas.microsoft.com/office/drawing/2014/main" id="{EF162C77-842A-46F8-A711-752BC26F9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9524</xdr:colOff>
      <xdr:row>0</xdr:row>
      <xdr:rowOff>47624</xdr:rowOff>
    </xdr:from>
    <xdr:to>
      <xdr:col>3</xdr:col>
      <xdr:colOff>219074</xdr:colOff>
      <xdr:row>9</xdr:row>
      <xdr:rowOff>123824</xdr:rowOff>
    </xdr:to>
    <mc:AlternateContent xmlns:mc="http://schemas.openxmlformats.org/markup-compatibility/2006">
      <mc:Choice xmlns:a14="http://schemas.microsoft.com/office/drawing/2010/main" Requires="a14">
        <xdr:graphicFrame macro="">
          <xdr:nvGraphicFramePr>
            <xdr:cNvPr id="5" name="Months">
              <a:extLst>
                <a:ext uri="{FF2B5EF4-FFF2-40B4-BE49-F238E27FC236}">
                  <a16:creationId xmlns:a16="http://schemas.microsoft.com/office/drawing/2014/main" id="{8796CC3A-FD3F-C218-E30E-B440E0CF691A}"/>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9524" y="47624"/>
              <a:ext cx="2981325" cy="1838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47625</xdr:colOff>
      <xdr:row>0</xdr:row>
      <xdr:rowOff>47625</xdr:rowOff>
    </xdr:from>
    <xdr:to>
      <xdr:col>7</xdr:col>
      <xdr:colOff>238125</xdr:colOff>
      <xdr:row>9</xdr:row>
      <xdr:rowOff>133350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CADE841F-6017-9984-64AD-6D727DED75E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429000" y="47625"/>
              <a:ext cx="2019300" cy="184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104774</xdr:colOff>
      <xdr:row>0</xdr:row>
      <xdr:rowOff>38100</xdr:rowOff>
    </xdr:from>
    <xdr:to>
      <xdr:col>11</xdr:col>
      <xdr:colOff>266699</xdr:colOff>
      <xdr:row>9</xdr:row>
      <xdr:rowOff>142875</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B6D4D717-4E3C-2EDF-4D0E-8119A3757DB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924549" y="38100"/>
              <a:ext cx="1990725" cy="186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Ofosu Boadi" refreshedDate="46151.91297002315" createdVersion="8" refreshedVersion="8" minRefreshableVersion="3" recordCount="100" xr:uid="{D543646B-8795-487C-B657-5A0E30B72FF3}">
  <cacheSource type="worksheet">
    <worksheetSource name="SalesData"/>
  </cacheSource>
  <cacheFields count="6">
    <cacheField name="OrderID" numFmtId="0">
      <sharedItems containsSemiMixedTypes="0" containsString="0" containsNumber="1" containsInteger="1" minValue="2001" maxValue="2100"/>
    </cacheField>
    <cacheField name="OrderDate" numFmtId="14">
      <sharedItems containsSemiMixedTypes="0" containsNonDate="0" containsDate="1" containsString="0" minDate="2026-01-03T00:00:00" maxDate="2026-12-23T00:00:00"/>
    </cacheField>
    <cacheField name="Region" numFmtId="0">
      <sharedItems count="4">
        <s v="North"/>
        <s v="South"/>
        <s v="East"/>
        <s v="West"/>
      </sharedItems>
    </cacheField>
    <cacheField name="Product" numFmtId="0">
      <sharedItems count="5">
        <s v="Laptop"/>
        <s v="Mouse"/>
        <s v="Keyboard"/>
        <s v="Monitor"/>
        <s v="Pen"/>
      </sharedItems>
    </cacheField>
    <cacheField name="Sales" numFmtId="0">
      <sharedItems containsSemiMixedTypes="0" containsString="0" containsNumber="1" containsInteger="1" minValue="42" maxValue="1300"/>
    </cacheField>
    <cacheField name="Months"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7317693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2001"/>
    <d v="2026-01-05T00:00:00"/>
    <x v="0"/>
    <x v="0"/>
    <n v="1200"/>
    <x v="0"/>
  </r>
  <r>
    <n v="2002"/>
    <d v="2026-01-12T00:00:00"/>
    <x v="1"/>
    <x v="1"/>
    <n v="150"/>
    <x v="0"/>
  </r>
  <r>
    <n v="2003"/>
    <d v="2026-01-18T00:00:00"/>
    <x v="2"/>
    <x v="2"/>
    <n v="300"/>
    <x v="0"/>
  </r>
  <r>
    <n v="2004"/>
    <d v="2026-01-23T00:00:00"/>
    <x v="3"/>
    <x v="3"/>
    <n v="800"/>
    <x v="0"/>
  </r>
  <r>
    <n v="2005"/>
    <d v="2026-01-28T00:00:00"/>
    <x v="0"/>
    <x v="1"/>
    <n v="200"/>
    <x v="0"/>
  </r>
  <r>
    <n v="2006"/>
    <d v="2026-02-03T00:00:00"/>
    <x v="1"/>
    <x v="0"/>
    <n v="1250"/>
    <x v="1"/>
  </r>
  <r>
    <n v="2007"/>
    <d v="2026-02-09T00:00:00"/>
    <x v="2"/>
    <x v="4"/>
    <n v="90"/>
    <x v="1"/>
  </r>
  <r>
    <n v="2008"/>
    <d v="2026-02-14T00:00:00"/>
    <x v="3"/>
    <x v="2"/>
    <n v="400"/>
    <x v="1"/>
  </r>
  <r>
    <n v="2009"/>
    <d v="2026-02-19T00:00:00"/>
    <x v="0"/>
    <x v="3"/>
    <n v="750"/>
    <x v="1"/>
  </r>
  <r>
    <n v="2010"/>
    <d v="2026-02-24T00:00:00"/>
    <x v="1"/>
    <x v="1"/>
    <n v="180"/>
    <x v="1"/>
  </r>
  <r>
    <n v="2011"/>
    <d v="2026-03-02T00:00:00"/>
    <x v="2"/>
    <x v="0"/>
    <n v="1100"/>
    <x v="2"/>
  </r>
  <r>
    <n v="2012"/>
    <d v="2026-03-07T00:00:00"/>
    <x v="3"/>
    <x v="1"/>
    <n v="120"/>
    <x v="2"/>
  </r>
  <r>
    <n v="2013"/>
    <d v="2026-03-12T00:00:00"/>
    <x v="0"/>
    <x v="2"/>
    <n v="350"/>
    <x v="2"/>
  </r>
  <r>
    <n v="2014"/>
    <d v="2026-03-17T00:00:00"/>
    <x v="1"/>
    <x v="3"/>
    <n v="820"/>
    <x v="2"/>
  </r>
  <r>
    <n v="2015"/>
    <d v="2026-03-22T00:00:00"/>
    <x v="2"/>
    <x v="4"/>
    <n v="60"/>
    <x v="2"/>
  </r>
  <r>
    <n v="2016"/>
    <d v="2026-03-27T00:00:00"/>
    <x v="3"/>
    <x v="0"/>
    <n v="1300"/>
    <x v="2"/>
  </r>
  <r>
    <n v="2017"/>
    <d v="2026-04-01T00:00:00"/>
    <x v="0"/>
    <x v="1"/>
    <n v="210"/>
    <x v="3"/>
  </r>
  <r>
    <n v="2018"/>
    <d v="2026-04-06T00:00:00"/>
    <x v="1"/>
    <x v="2"/>
    <n v="280"/>
    <x v="3"/>
  </r>
  <r>
    <n v="2019"/>
    <d v="2026-04-11T00:00:00"/>
    <x v="2"/>
    <x v="3"/>
    <n v="790"/>
    <x v="3"/>
  </r>
  <r>
    <n v="2020"/>
    <d v="2026-04-16T00:00:00"/>
    <x v="3"/>
    <x v="4"/>
    <n v="45"/>
    <x v="3"/>
  </r>
  <r>
    <n v="2021"/>
    <d v="2026-04-21T00:00:00"/>
    <x v="0"/>
    <x v="0"/>
    <n v="1180"/>
    <x v="3"/>
  </r>
  <r>
    <n v="2022"/>
    <d v="2026-04-26T00:00:00"/>
    <x v="1"/>
    <x v="1"/>
    <n v="170"/>
    <x v="3"/>
  </r>
  <r>
    <n v="2023"/>
    <d v="2026-05-01T00:00:00"/>
    <x v="2"/>
    <x v="2"/>
    <n v="320"/>
    <x v="4"/>
  </r>
  <r>
    <n v="2024"/>
    <d v="2026-05-06T00:00:00"/>
    <x v="3"/>
    <x v="3"/>
    <n v="840"/>
    <x v="4"/>
  </r>
  <r>
    <n v="2025"/>
    <d v="2026-05-11T00:00:00"/>
    <x v="0"/>
    <x v="4"/>
    <n v="55"/>
    <x v="4"/>
  </r>
  <r>
    <n v="2026"/>
    <d v="2026-05-16T00:00:00"/>
    <x v="1"/>
    <x v="0"/>
    <n v="1220"/>
    <x v="4"/>
  </r>
  <r>
    <n v="2027"/>
    <d v="2026-05-21T00:00:00"/>
    <x v="2"/>
    <x v="1"/>
    <n v="190"/>
    <x v="4"/>
  </r>
  <r>
    <n v="2028"/>
    <d v="2026-05-26T00:00:00"/>
    <x v="3"/>
    <x v="2"/>
    <n v="370"/>
    <x v="4"/>
  </r>
  <r>
    <n v="2029"/>
    <d v="2026-05-31T00:00:00"/>
    <x v="0"/>
    <x v="3"/>
    <n v="770"/>
    <x v="4"/>
  </r>
  <r>
    <n v="2030"/>
    <d v="2026-06-05T00:00:00"/>
    <x v="1"/>
    <x v="4"/>
    <n v="50"/>
    <x v="5"/>
  </r>
  <r>
    <n v="2031"/>
    <d v="2026-06-10T00:00:00"/>
    <x v="2"/>
    <x v="0"/>
    <n v="1150"/>
    <x v="5"/>
  </r>
  <r>
    <n v="2032"/>
    <d v="2026-06-15T00:00:00"/>
    <x v="3"/>
    <x v="1"/>
    <n v="160"/>
    <x v="5"/>
  </r>
  <r>
    <n v="2033"/>
    <d v="2026-06-20T00:00:00"/>
    <x v="0"/>
    <x v="2"/>
    <n v="310"/>
    <x v="5"/>
  </r>
  <r>
    <n v="2034"/>
    <d v="2026-06-25T00:00:00"/>
    <x v="1"/>
    <x v="3"/>
    <n v="810"/>
    <x v="5"/>
  </r>
  <r>
    <n v="2035"/>
    <d v="2026-06-30T00:00:00"/>
    <x v="2"/>
    <x v="4"/>
    <n v="70"/>
    <x v="5"/>
  </r>
  <r>
    <n v="2036"/>
    <d v="2026-07-05T00:00:00"/>
    <x v="3"/>
    <x v="0"/>
    <n v="1280"/>
    <x v="6"/>
  </r>
  <r>
    <n v="2037"/>
    <d v="2026-07-10T00:00:00"/>
    <x v="0"/>
    <x v="1"/>
    <n v="220"/>
    <x v="6"/>
  </r>
  <r>
    <n v="2038"/>
    <d v="2026-07-15T00:00:00"/>
    <x v="1"/>
    <x v="2"/>
    <n v="290"/>
    <x v="6"/>
  </r>
  <r>
    <n v="2039"/>
    <d v="2026-07-20T00:00:00"/>
    <x v="2"/>
    <x v="3"/>
    <n v="800"/>
    <x v="6"/>
  </r>
  <r>
    <n v="2040"/>
    <d v="2026-07-25T00:00:00"/>
    <x v="3"/>
    <x v="4"/>
    <n v="48"/>
    <x v="6"/>
  </r>
  <r>
    <n v="2041"/>
    <d v="2026-07-30T00:00:00"/>
    <x v="0"/>
    <x v="0"/>
    <n v="1190"/>
    <x v="6"/>
  </r>
  <r>
    <n v="2042"/>
    <d v="2026-08-04T00:00:00"/>
    <x v="1"/>
    <x v="1"/>
    <n v="175"/>
    <x v="7"/>
  </r>
  <r>
    <n v="2043"/>
    <d v="2026-08-09T00:00:00"/>
    <x v="2"/>
    <x v="2"/>
    <n v="330"/>
    <x v="7"/>
  </r>
  <r>
    <n v="2044"/>
    <d v="2026-08-14T00:00:00"/>
    <x v="3"/>
    <x v="3"/>
    <n v="830"/>
    <x v="7"/>
  </r>
  <r>
    <n v="2045"/>
    <d v="2026-08-19T00:00:00"/>
    <x v="0"/>
    <x v="4"/>
    <n v="52"/>
    <x v="7"/>
  </r>
  <r>
    <n v="2046"/>
    <d v="2026-08-24T00:00:00"/>
    <x v="1"/>
    <x v="0"/>
    <n v="1230"/>
    <x v="7"/>
  </r>
  <r>
    <n v="2047"/>
    <d v="2026-08-29T00:00:00"/>
    <x v="2"/>
    <x v="1"/>
    <n v="195"/>
    <x v="7"/>
  </r>
  <r>
    <n v="2048"/>
    <d v="2026-09-03T00:00:00"/>
    <x v="3"/>
    <x v="2"/>
    <n v="360"/>
    <x v="8"/>
  </r>
  <r>
    <n v="2049"/>
    <d v="2026-09-08T00:00:00"/>
    <x v="0"/>
    <x v="3"/>
    <n v="760"/>
    <x v="8"/>
  </r>
  <r>
    <n v="2050"/>
    <d v="2026-09-13T00:00:00"/>
    <x v="1"/>
    <x v="4"/>
    <n v="58"/>
    <x v="8"/>
  </r>
  <r>
    <n v="2051"/>
    <d v="2026-09-18T00:00:00"/>
    <x v="2"/>
    <x v="0"/>
    <n v="1160"/>
    <x v="8"/>
  </r>
  <r>
    <n v="2052"/>
    <d v="2026-09-23T00:00:00"/>
    <x v="3"/>
    <x v="1"/>
    <n v="165"/>
    <x v="8"/>
  </r>
  <r>
    <n v="2053"/>
    <d v="2026-09-28T00:00:00"/>
    <x v="0"/>
    <x v="2"/>
    <n v="305"/>
    <x v="8"/>
  </r>
  <r>
    <n v="2054"/>
    <d v="2026-10-03T00:00:00"/>
    <x v="1"/>
    <x v="3"/>
    <n v="815"/>
    <x v="9"/>
  </r>
  <r>
    <n v="2055"/>
    <d v="2026-10-08T00:00:00"/>
    <x v="2"/>
    <x v="4"/>
    <n v="65"/>
    <x v="9"/>
  </r>
  <r>
    <n v="2056"/>
    <d v="2026-10-13T00:00:00"/>
    <x v="3"/>
    <x v="0"/>
    <n v="1270"/>
    <x v="9"/>
  </r>
  <r>
    <n v="2057"/>
    <d v="2026-10-18T00:00:00"/>
    <x v="0"/>
    <x v="1"/>
    <n v="215"/>
    <x v="9"/>
  </r>
  <r>
    <n v="2058"/>
    <d v="2026-10-23T00:00:00"/>
    <x v="1"/>
    <x v="2"/>
    <n v="285"/>
    <x v="9"/>
  </r>
  <r>
    <n v="2059"/>
    <d v="2026-10-28T00:00:00"/>
    <x v="2"/>
    <x v="3"/>
    <n v="795"/>
    <x v="9"/>
  </r>
  <r>
    <n v="2060"/>
    <d v="2026-11-02T00:00:00"/>
    <x v="3"/>
    <x v="4"/>
    <n v="42"/>
    <x v="10"/>
  </r>
  <r>
    <n v="2061"/>
    <d v="2026-11-07T00:00:00"/>
    <x v="0"/>
    <x v="0"/>
    <n v="1170"/>
    <x v="10"/>
  </r>
  <r>
    <n v="2062"/>
    <d v="2026-11-12T00:00:00"/>
    <x v="1"/>
    <x v="1"/>
    <n v="172"/>
    <x v="10"/>
  </r>
  <r>
    <n v="2063"/>
    <d v="2026-11-17T00:00:00"/>
    <x v="2"/>
    <x v="2"/>
    <n v="325"/>
    <x v="10"/>
  </r>
  <r>
    <n v="2064"/>
    <d v="2026-11-22T00:00:00"/>
    <x v="3"/>
    <x v="3"/>
    <n v="835"/>
    <x v="10"/>
  </r>
  <r>
    <n v="2065"/>
    <d v="2026-11-27T00:00:00"/>
    <x v="0"/>
    <x v="4"/>
    <n v="54"/>
    <x v="10"/>
  </r>
  <r>
    <n v="2066"/>
    <d v="2026-12-02T00:00:00"/>
    <x v="1"/>
    <x v="0"/>
    <n v="1210"/>
    <x v="11"/>
  </r>
  <r>
    <n v="2067"/>
    <d v="2026-12-07T00:00:00"/>
    <x v="2"/>
    <x v="1"/>
    <n v="185"/>
    <x v="11"/>
  </r>
  <r>
    <n v="2068"/>
    <d v="2026-12-12T00:00:00"/>
    <x v="3"/>
    <x v="2"/>
    <n v="365"/>
    <x v="11"/>
  </r>
  <r>
    <n v="2069"/>
    <d v="2026-12-17T00:00:00"/>
    <x v="0"/>
    <x v="3"/>
    <n v="775"/>
    <x v="11"/>
  </r>
  <r>
    <n v="2070"/>
    <d v="2026-12-22T00:00:00"/>
    <x v="1"/>
    <x v="4"/>
    <n v="48"/>
    <x v="11"/>
  </r>
  <r>
    <n v="2071"/>
    <d v="2026-01-03T00:00:00"/>
    <x v="2"/>
    <x v="0"/>
    <n v="1140"/>
    <x v="0"/>
  </r>
  <r>
    <n v="2072"/>
    <d v="2026-01-10T00:00:00"/>
    <x v="3"/>
    <x v="1"/>
    <n v="155"/>
    <x v="0"/>
  </r>
  <r>
    <n v="2073"/>
    <d v="2026-01-15T00:00:00"/>
    <x v="0"/>
    <x v="2"/>
    <n v="340"/>
    <x v="0"/>
  </r>
  <r>
    <n v="2074"/>
    <d v="2026-01-21T00:00:00"/>
    <x v="1"/>
    <x v="3"/>
    <n v="845"/>
    <x v="0"/>
  </r>
  <r>
    <n v="2075"/>
    <d v="2026-01-29T00:00:00"/>
    <x v="2"/>
    <x v="4"/>
    <n v="72"/>
    <x v="0"/>
  </r>
  <r>
    <n v="2076"/>
    <d v="2026-02-05T00:00:00"/>
    <x v="3"/>
    <x v="0"/>
    <n v="1290"/>
    <x v="1"/>
  </r>
  <r>
    <n v="2077"/>
    <d v="2026-02-12T00:00:00"/>
    <x v="0"/>
    <x v="1"/>
    <n v="225"/>
    <x v="1"/>
  </r>
  <r>
    <n v="2078"/>
    <d v="2026-02-18T00:00:00"/>
    <x v="1"/>
    <x v="2"/>
    <n v="295"/>
    <x v="1"/>
  </r>
  <r>
    <n v="2079"/>
    <d v="2026-02-25T00:00:00"/>
    <x v="2"/>
    <x v="3"/>
    <n v="805"/>
    <x v="1"/>
  </r>
  <r>
    <n v="2080"/>
    <d v="2026-03-04T00:00:00"/>
    <x v="3"/>
    <x v="4"/>
    <n v="60"/>
    <x v="2"/>
  </r>
  <r>
    <n v="2081"/>
    <d v="2026-03-11T00:00:00"/>
    <x v="0"/>
    <x v="0"/>
    <n v="1185"/>
    <x v="2"/>
  </r>
  <r>
    <n v="2082"/>
    <d v="2026-03-18T00:00:00"/>
    <x v="1"/>
    <x v="1"/>
    <n v="178"/>
    <x v="2"/>
  </r>
  <r>
    <n v="2083"/>
    <d v="2026-03-24T00:00:00"/>
    <x v="2"/>
    <x v="2"/>
    <n v="335"/>
    <x v="2"/>
  </r>
  <r>
    <n v="2084"/>
    <d v="2026-03-31T00:00:00"/>
    <x v="3"/>
    <x v="3"/>
    <n v="825"/>
    <x v="2"/>
  </r>
  <r>
    <n v="2085"/>
    <d v="2026-04-06T00:00:00"/>
    <x v="0"/>
    <x v="4"/>
    <n v="56"/>
    <x v="3"/>
  </r>
  <r>
    <n v="2086"/>
    <d v="2026-04-12T00:00:00"/>
    <x v="1"/>
    <x v="0"/>
    <n v="1240"/>
    <x v="3"/>
  </r>
  <r>
    <n v="2087"/>
    <d v="2026-04-19T00:00:00"/>
    <x v="2"/>
    <x v="1"/>
    <n v="200"/>
    <x v="3"/>
  </r>
  <r>
    <n v="2088"/>
    <d v="2026-04-25T00:00:00"/>
    <x v="3"/>
    <x v="2"/>
    <n v="355"/>
    <x v="3"/>
  </r>
  <r>
    <n v="2089"/>
    <d v="2026-05-01T00:00:00"/>
    <x v="0"/>
    <x v="3"/>
    <n v="765"/>
    <x v="4"/>
  </r>
  <r>
    <n v="2090"/>
    <d v="2026-05-08T00:00:00"/>
    <x v="1"/>
    <x v="4"/>
    <n v="62"/>
    <x v="4"/>
  </r>
  <r>
    <n v="2091"/>
    <d v="2026-05-14T00:00:00"/>
    <x v="2"/>
    <x v="0"/>
    <n v="1165"/>
    <x v="4"/>
  </r>
  <r>
    <n v="2092"/>
    <d v="2026-05-20T00:00:00"/>
    <x v="3"/>
    <x v="1"/>
    <n v="168"/>
    <x v="4"/>
  </r>
  <r>
    <n v="2093"/>
    <d v="2026-05-27T00:00:00"/>
    <x v="0"/>
    <x v="2"/>
    <n v="315"/>
    <x v="4"/>
  </r>
  <r>
    <n v="2094"/>
    <d v="2026-06-02T00:00:00"/>
    <x v="1"/>
    <x v="3"/>
    <n v="818"/>
    <x v="5"/>
  </r>
  <r>
    <n v="2095"/>
    <d v="2026-06-09T00:00:00"/>
    <x v="2"/>
    <x v="4"/>
    <n v="68"/>
    <x v="5"/>
  </r>
  <r>
    <n v="2096"/>
    <d v="2026-06-16T00:00:00"/>
    <x v="3"/>
    <x v="0"/>
    <n v="1260"/>
    <x v="5"/>
  </r>
  <r>
    <n v="2097"/>
    <d v="2026-06-23T00:00:00"/>
    <x v="0"/>
    <x v="1"/>
    <n v="218"/>
    <x v="5"/>
  </r>
  <r>
    <n v="2098"/>
    <d v="2026-06-30T00:00:00"/>
    <x v="1"/>
    <x v="2"/>
    <n v="288"/>
    <x v="5"/>
  </r>
  <r>
    <n v="2099"/>
    <d v="2026-07-07T00:00:00"/>
    <x v="2"/>
    <x v="3"/>
    <n v="798"/>
    <x v="6"/>
  </r>
  <r>
    <n v="2100"/>
    <d v="2026-07-14T00:00:00"/>
    <x v="3"/>
    <x v="4"/>
    <n v="44"/>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B10269-487E-4FA9-A239-E84513089DAB}" name="Salesbyproduct"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4:O10" firstHeaderRow="1" firstDataRow="1" firstDataCol="1"/>
  <pivotFields count="6">
    <pivotField showAll="0"/>
    <pivotField numFmtId="14" showAll="0"/>
    <pivotField showAll="0">
      <items count="5">
        <item x="2"/>
        <item x="0"/>
        <item x="1"/>
        <item x="3"/>
        <item t="default"/>
      </items>
    </pivotField>
    <pivotField axis="axisRow" showAll="0">
      <items count="6">
        <item x="2"/>
        <item x="0"/>
        <item x="3"/>
        <item x="1"/>
        <item x="4"/>
        <item t="default"/>
      </items>
    </pivotField>
    <pivotField dataField="1" showAll="0"/>
    <pivotField showAll="0">
      <items count="13">
        <item x="0"/>
        <item x="1"/>
        <item x="2"/>
        <item x="3"/>
        <item x="4"/>
        <item x="5"/>
        <item x="6"/>
        <item x="7"/>
        <item x="8"/>
        <item x="9"/>
        <item x="10"/>
        <item x="11"/>
        <item t="default"/>
      </items>
    </pivotField>
  </pivotFields>
  <rowFields count="1">
    <field x="3"/>
  </rowFields>
  <rowItems count="6">
    <i>
      <x/>
    </i>
    <i>
      <x v="1"/>
    </i>
    <i>
      <x v="2"/>
    </i>
    <i>
      <x v="3"/>
    </i>
    <i>
      <x v="4"/>
    </i>
    <i t="grand">
      <x/>
    </i>
  </rowItems>
  <colItems count="1">
    <i/>
  </colItems>
  <dataFields count="1">
    <dataField name="Sum of Sales" fld="4" baseField="0" baseItem="0" numFmtId="164"/>
  </dataFields>
  <formats count="13">
    <format dxfId="376">
      <pivotArea type="all" dataOnly="0" outline="0" fieldPosition="0"/>
    </format>
    <format dxfId="375">
      <pivotArea outline="0" collapsedLevelsAreSubtotals="1" fieldPosition="0"/>
    </format>
    <format dxfId="374">
      <pivotArea field="3" type="button" dataOnly="0" labelOnly="1" outline="0" axis="axisRow" fieldPosition="0"/>
    </format>
    <format dxfId="373">
      <pivotArea dataOnly="0" labelOnly="1" fieldPosition="0">
        <references count="1">
          <reference field="3" count="0"/>
        </references>
      </pivotArea>
    </format>
    <format dxfId="372">
      <pivotArea dataOnly="0" labelOnly="1" grandRow="1" outline="0" fieldPosition="0"/>
    </format>
    <format dxfId="371">
      <pivotArea dataOnly="0" labelOnly="1" outline="0" axis="axisValues" fieldPosition="0"/>
    </format>
    <format dxfId="370">
      <pivotArea type="all" dataOnly="0" outline="0" fieldPosition="0"/>
    </format>
    <format dxfId="369">
      <pivotArea outline="0" collapsedLevelsAreSubtotals="1" fieldPosition="0"/>
    </format>
    <format dxfId="368">
      <pivotArea field="3" type="button" dataOnly="0" labelOnly="1" outline="0" axis="axisRow" fieldPosition="0"/>
    </format>
    <format dxfId="367">
      <pivotArea dataOnly="0" labelOnly="1" fieldPosition="0">
        <references count="1">
          <reference field="3" count="0"/>
        </references>
      </pivotArea>
    </format>
    <format dxfId="366">
      <pivotArea dataOnly="0" labelOnly="1" grandRow="1" outline="0" fieldPosition="0"/>
    </format>
    <format dxfId="365">
      <pivotArea dataOnly="0" labelOnly="1" outline="0" axis="axisValues" fieldPosition="0"/>
    </format>
    <format dxfId="338">
      <pivotArea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4F883B-8E8A-440C-9448-673CEA1B6D48}" name="Salesbyregion"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1:B26" firstHeaderRow="1" firstDataRow="1" firstDataCol="1"/>
  <pivotFields count="6">
    <pivotField showAll="0"/>
    <pivotField numFmtId="14" showAll="0"/>
    <pivotField axis="axisRow" showAll="0">
      <items count="5">
        <item x="2"/>
        <item x="0"/>
        <item x="1"/>
        <item x="3"/>
        <item t="default"/>
      </items>
    </pivotField>
    <pivotField showAll="0">
      <items count="6">
        <item x="2"/>
        <item x="0"/>
        <item x="3"/>
        <item x="1"/>
        <item x="4"/>
        <item t="default"/>
      </items>
    </pivotField>
    <pivotField dataField="1" showAll="0"/>
    <pivotField showAll="0">
      <items count="13">
        <item x="0"/>
        <item x="1"/>
        <item x="2"/>
        <item x="3"/>
        <item x="4"/>
        <item x="5"/>
        <item x="6"/>
        <item x="7"/>
        <item x="8"/>
        <item x="9"/>
        <item x="10"/>
        <item x="11"/>
        <item t="default"/>
      </items>
    </pivotField>
  </pivotFields>
  <rowFields count="1">
    <field x="2"/>
  </rowFields>
  <rowItems count="5">
    <i>
      <x/>
    </i>
    <i>
      <x v="1"/>
    </i>
    <i>
      <x v="2"/>
    </i>
    <i>
      <x v="3"/>
    </i>
    <i t="grand">
      <x/>
    </i>
  </rowItems>
  <colItems count="1">
    <i/>
  </colItems>
  <dataFields count="1">
    <dataField name="Sum of Sales" fld="4" baseField="2" baseItem="2" numFmtId="164"/>
  </dataFields>
  <formats count="13">
    <format dxfId="352">
      <pivotArea type="all" dataOnly="0" outline="0" fieldPosition="0"/>
    </format>
    <format dxfId="351">
      <pivotArea outline="0" collapsedLevelsAreSubtotals="1" fieldPosition="0"/>
    </format>
    <format dxfId="350">
      <pivotArea field="2" type="button" dataOnly="0" labelOnly="1" outline="0" axis="axisRow" fieldPosition="0"/>
    </format>
    <format dxfId="349">
      <pivotArea dataOnly="0" labelOnly="1" fieldPosition="0">
        <references count="1">
          <reference field="2" count="0"/>
        </references>
      </pivotArea>
    </format>
    <format dxfId="348">
      <pivotArea dataOnly="0" labelOnly="1" grandRow="1" outline="0" fieldPosition="0"/>
    </format>
    <format dxfId="347">
      <pivotArea dataOnly="0" labelOnly="1" outline="0" axis="axisValues" fieldPosition="0"/>
    </format>
    <format dxfId="346">
      <pivotArea type="all" dataOnly="0" outline="0" fieldPosition="0"/>
    </format>
    <format dxfId="345">
      <pivotArea outline="0" collapsedLevelsAreSubtotals="1" fieldPosition="0"/>
    </format>
    <format dxfId="344">
      <pivotArea field="2" type="button" dataOnly="0" labelOnly="1" outline="0" axis="axisRow" fieldPosition="0"/>
    </format>
    <format dxfId="343">
      <pivotArea dataOnly="0" labelOnly="1" fieldPosition="0">
        <references count="1">
          <reference field="2" count="0"/>
        </references>
      </pivotArea>
    </format>
    <format dxfId="342">
      <pivotArea dataOnly="0" labelOnly="1" grandRow="1" outline="0" fieldPosition="0"/>
    </format>
    <format dxfId="341">
      <pivotArea dataOnly="0" labelOnly="1" outline="0" axis="axisValues" fieldPosition="0"/>
    </format>
    <format dxfId="340">
      <pivotArea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0DBA13-E17C-4DE1-A27F-6B30E803A6D9}" name="Salesbymonth"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6">
    <pivotField showAll="0"/>
    <pivotField numFmtId="14" showAll="0"/>
    <pivotField showAll="0">
      <items count="5">
        <item x="2"/>
        <item x="0"/>
        <item x="1"/>
        <item x="3"/>
        <item t="default"/>
      </items>
    </pivotField>
    <pivotField showAll="0">
      <items count="6">
        <item x="2"/>
        <item x="0"/>
        <item x="3"/>
        <item x="1"/>
        <item x="4"/>
        <item t="default"/>
      </items>
    </pivotField>
    <pivotField dataField="1" showAll="0"/>
    <pivotField axis="axisRow" showAll="0">
      <items count="13">
        <item x="0"/>
        <item x="1"/>
        <item x="2"/>
        <item x="3"/>
        <item x="4"/>
        <item x="5"/>
        <item x="6"/>
        <item x="7"/>
        <item x="8"/>
        <item x="9"/>
        <item x="10"/>
        <item x="11"/>
        <item t="default"/>
      </items>
    </pivotField>
  </pivotFields>
  <rowFields count="1">
    <field x="5"/>
  </rowFields>
  <rowItems count="13">
    <i>
      <x/>
    </i>
    <i>
      <x v="1"/>
    </i>
    <i>
      <x v="2"/>
    </i>
    <i>
      <x v="3"/>
    </i>
    <i>
      <x v="4"/>
    </i>
    <i>
      <x v="5"/>
    </i>
    <i>
      <x v="6"/>
    </i>
    <i>
      <x v="7"/>
    </i>
    <i>
      <x v="8"/>
    </i>
    <i>
      <x v="9"/>
    </i>
    <i>
      <x v="10"/>
    </i>
    <i>
      <x v="11"/>
    </i>
    <i t="grand">
      <x/>
    </i>
  </rowItems>
  <colItems count="1">
    <i/>
  </colItems>
  <dataFields count="1">
    <dataField name="Sum of Sales" fld="4" baseField="0" baseItem="0" numFmtId="164"/>
  </dataFields>
  <formats count="13">
    <format dxfId="364">
      <pivotArea type="all" dataOnly="0" outline="0" fieldPosition="0"/>
    </format>
    <format dxfId="363">
      <pivotArea outline="0" collapsedLevelsAreSubtotals="1" fieldPosition="0"/>
    </format>
    <format dxfId="362">
      <pivotArea field="5" type="button" dataOnly="0" labelOnly="1" outline="0" axis="axisRow" fieldPosition="0"/>
    </format>
    <format dxfId="361">
      <pivotArea dataOnly="0" labelOnly="1" fieldPosition="0">
        <references count="1">
          <reference field="5" count="0"/>
        </references>
      </pivotArea>
    </format>
    <format dxfId="360">
      <pivotArea dataOnly="0" labelOnly="1" grandRow="1" outline="0" fieldPosition="0"/>
    </format>
    <format dxfId="359">
      <pivotArea dataOnly="0" labelOnly="1" outline="0" axis="axisValues" fieldPosition="0"/>
    </format>
    <format dxfId="358">
      <pivotArea type="all" dataOnly="0" outline="0" fieldPosition="0"/>
    </format>
    <format dxfId="357">
      <pivotArea outline="0" collapsedLevelsAreSubtotals="1" fieldPosition="0"/>
    </format>
    <format dxfId="356">
      <pivotArea field="5" type="button" dataOnly="0" labelOnly="1" outline="0" axis="axisRow" fieldPosition="0"/>
    </format>
    <format dxfId="355">
      <pivotArea dataOnly="0" labelOnly="1" fieldPosition="0">
        <references count="1">
          <reference field="5" count="0"/>
        </references>
      </pivotArea>
    </format>
    <format dxfId="354">
      <pivotArea dataOnly="0" labelOnly="1" grandRow="1" outline="0" fieldPosition="0"/>
    </format>
    <format dxfId="353">
      <pivotArea dataOnly="0" labelOnly="1" outline="0" axis="axisValues" fieldPosition="0"/>
    </format>
    <format dxfId="339">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080A3E11-EDF3-4210-8132-6D98D463D8AC}" sourceName="Months">
  <pivotTables>
    <pivotTable tabId="2" name="Salesbyregion"/>
    <pivotTable tabId="2" name="Salesbymonth"/>
    <pivotTable tabId="2" name="Salesbyproduct"/>
  </pivotTables>
  <data>
    <tabular pivotCacheId="1731769372">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127C23-5884-4984-97FA-D0BFD8EB5E87}" sourceName="Region">
  <pivotTables>
    <pivotTable tabId="2" name="Salesbyproduct"/>
    <pivotTable tabId="2" name="Salesbymonth"/>
    <pivotTable tabId="2" name="Salesbyregion"/>
  </pivotTables>
  <data>
    <tabular pivotCacheId="1731769372">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2BFE5F8-0A0F-4D89-B244-B8DE0F14A3C0}" sourceName="Product">
  <pivotTables>
    <pivotTable tabId="2" name="Salesbymonth"/>
    <pivotTable tabId="2" name="Salesbyregion"/>
    <pivotTable tabId="2" name="Salesbyproduct"/>
  </pivotTables>
  <data>
    <tabular pivotCacheId="1731769372">
      <items count="5">
        <i x="2" s="1"/>
        <i x="0"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4460EF30-5F29-41F0-A1D8-FF8EDFE4E437}" cache="Slicer_Months" caption="Months" columnCount="4" rowHeight="257175"/>
  <slicer name="Region" xr10:uid="{7D4E71CE-142B-452F-9245-772967D60DBE}" cache="Slicer_Region" caption="Region" rowHeight="257175"/>
  <slicer name="Product" xr10:uid="{E5DC83D1-7D0C-433A-854C-1129FCB56C7F}" cache="Slicer_Product" caption="Produc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2A45A0-FB14-4070-A4DB-06A25934C472}" name="SalesData" displayName="SalesData" ref="A1:F101" totalsRowShown="0" headerRowDxfId="379" dataDxfId="378">
  <autoFilter ref="A1:F101" xr:uid="{BF2A45A0-FB14-4070-A4DB-06A25934C472}"/>
  <tableColumns count="6">
    <tableColumn id="1" xr3:uid="{FF2CE1D6-6521-442E-B0D2-C06377E0B93D}" name="OrderID" dataDxfId="384"/>
    <tableColumn id="2" xr3:uid="{5649C9B4-BCD2-4C19-BA02-91B792A3D0BB}" name="OrderDate" dataDxfId="383"/>
    <tableColumn id="3" xr3:uid="{75224E19-4171-4094-A42D-76DB123C724D}" name="Region" dataDxfId="382"/>
    <tableColumn id="4" xr3:uid="{873B04B8-51DE-4B88-91DA-179B31803EF1}" name="Product" dataDxfId="381"/>
    <tableColumn id="5" xr3:uid="{7CF62672-F1C4-454B-A66E-9B559CC8BAAD}" name="Sales" dataDxfId="380"/>
    <tableColumn id="6" xr3:uid="{BDA16E91-9643-490B-90AD-894DF3E5FF54}" name="Months" dataDxfId="377">
      <calculatedColumnFormula>TEXT(B:B,"mmm")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A1F91-5C02-43EC-9197-7573FB13E4D8}">
  <dimension ref="A3:O26"/>
  <sheetViews>
    <sheetView workbookViewId="0">
      <selection activeCell="H35" sqref="H35"/>
    </sheetView>
  </sheetViews>
  <sheetFormatPr defaultRowHeight="15" x14ac:dyDescent="0.25"/>
  <cols>
    <col min="1" max="1" width="14.5703125" bestFit="1" customWidth="1"/>
    <col min="2" max="2" width="13.42578125" bestFit="1" customWidth="1"/>
    <col min="14" max="14" width="14.5703125" bestFit="1" customWidth="1"/>
    <col min="15" max="15" width="13.42578125" bestFit="1" customWidth="1"/>
  </cols>
  <sheetData>
    <row r="3" spans="1:15" ht="15.75" x14ac:dyDescent="0.25">
      <c r="A3" s="3" t="s">
        <v>14</v>
      </c>
      <c r="B3" s="1" t="s">
        <v>29</v>
      </c>
    </row>
    <row r="4" spans="1:15" ht="15.75" x14ac:dyDescent="0.25">
      <c r="A4" s="4" t="s">
        <v>15</v>
      </c>
      <c r="B4" s="5">
        <v>5202</v>
      </c>
      <c r="N4" s="3" t="s">
        <v>14</v>
      </c>
      <c r="O4" s="1" t="s">
        <v>29</v>
      </c>
    </row>
    <row r="5" spans="1:15" ht="15.75" x14ac:dyDescent="0.25">
      <c r="A5" s="4" t="s">
        <v>16</v>
      </c>
      <c r="B5" s="5">
        <v>5285</v>
      </c>
      <c r="N5" s="4" t="s">
        <v>10</v>
      </c>
      <c r="O5" s="5">
        <v>6518</v>
      </c>
    </row>
    <row r="6" spans="1:15" ht="15.75" x14ac:dyDescent="0.25">
      <c r="A6" s="4" t="s">
        <v>17</v>
      </c>
      <c r="B6" s="5">
        <v>6333</v>
      </c>
      <c r="N6" s="4" t="s">
        <v>6</v>
      </c>
      <c r="O6" s="5">
        <v>24190</v>
      </c>
    </row>
    <row r="7" spans="1:15" ht="15.75" x14ac:dyDescent="0.25">
      <c r="A7" s="4" t="s">
        <v>18</v>
      </c>
      <c r="B7" s="5">
        <v>4526</v>
      </c>
      <c r="N7" s="4" t="s">
        <v>12</v>
      </c>
      <c r="O7" s="5">
        <v>16046</v>
      </c>
    </row>
    <row r="8" spans="1:15" ht="15.75" x14ac:dyDescent="0.25">
      <c r="A8" s="4" t="s">
        <v>19</v>
      </c>
      <c r="B8" s="5">
        <v>6240</v>
      </c>
      <c r="N8" s="4" t="s">
        <v>8</v>
      </c>
      <c r="O8" s="5">
        <v>3851</v>
      </c>
    </row>
    <row r="9" spans="1:15" ht="15.75" x14ac:dyDescent="0.25">
      <c r="A9" s="4" t="s">
        <v>20</v>
      </c>
      <c r="B9" s="5">
        <v>5202</v>
      </c>
      <c r="N9" s="4" t="s">
        <v>13</v>
      </c>
      <c r="O9" s="5">
        <v>1099</v>
      </c>
    </row>
    <row r="10" spans="1:15" ht="15.75" x14ac:dyDescent="0.25">
      <c r="A10" s="4" t="s">
        <v>21</v>
      </c>
      <c r="B10" s="5">
        <v>4670</v>
      </c>
      <c r="N10" s="4" t="s">
        <v>27</v>
      </c>
      <c r="O10" s="5">
        <v>51704</v>
      </c>
    </row>
    <row r="11" spans="1:15" ht="15.75" x14ac:dyDescent="0.25">
      <c r="A11" s="4" t="s">
        <v>22</v>
      </c>
      <c r="B11" s="5">
        <v>2812</v>
      </c>
    </row>
    <row r="12" spans="1:15" ht="15.75" x14ac:dyDescent="0.25">
      <c r="A12" s="4" t="s">
        <v>23</v>
      </c>
      <c r="B12" s="5">
        <v>2808</v>
      </c>
    </row>
    <row r="13" spans="1:15" ht="15.75" x14ac:dyDescent="0.25">
      <c r="A13" s="4" t="s">
        <v>24</v>
      </c>
      <c r="B13" s="5">
        <v>3445</v>
      </c>
    </row>
    <row r="14" spans="1:15" ht="15.75" x14ac:dyDescent="0.25">
      <c r="A14" s="4" t="s">
        <v>25</v>
      </c>
      <c r="B14" s="5">
        <v>2598</v>
      </c>
    </row>
    <row r="15" spans="1:15" ht="15.75" x14ac:dyDescent="0.25">
      <c r="A15" s="4" t="s">
        <v>26</v>
      </c>
      <c r="B15" s="5">
        <v>2583</v>
      </c>
    </row>
    <row r="16" spans="1:15" ht="15.75" x14ac:dyDescent="0.25">
      <c r="A16" s="4" t="s">
        <v>27</v>
      </c>
      <c r="B16" s="5">
        <v>51704</v>
      </c>
    </row>
    <row r="21" spans="1:2" ht="15.75" x14ac:dyDescent="0.25">
      <c r="A21" s="3" t="s">
        <v>14</v>
      </c>
      <c r="B21" s="1" t="s">
        <v>29</v>
      </c>
    </row>
    <row r="22" spans="1:2" ht="15.75" x14ac:dyDescent="0.25">
      <c r="A22" s="4" t="s">
        <v>9</v>
      </c>
      <c r="B22" s="5">
        <v>12508</v>
      </c>
    </row>
    <row r="23" spans="1:2" ht="15.75" x14ac:dyDescent="0.25">
      <c r="A23" s="4" t="s">
        <v>5</v>
      </c>
      <c r="B23" s="5">
        <v>12870</v>
      </c>
    </row>
    <row r="24" spans="1:2" ht="15.75" x14ac:dyDescent="0.25">
      <c r="A24" s="4" t="s">
        <v>7</v>
      </c>
      <c r="B24" s="5">
        <v>12939</v>
      </c>
    </row>
    <row r="25" spans="1:2" ht="15.75" x14ac:dyDescent="0.25">
      <c r="A25" s="4" t="s">
        <v>11</v>
      </c>
      <c r="B25" s="5">
        <v>13387</v>
      </c>
    </row>
    <row r="26" spans="1:2" ht="15.75" x14ac:dyDescent="0.25">
      <c r="A26" s="4" t="s">
        <v>27</v>
      </c>
      <c r="B26" s="5">
        <v>51704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309CE-A02A-43DC-9C1F-9A70D3BBC8AC}">
  <dimension ref="O1:T6"/>
  <sheetViews>
    <sheetView workbookViewId="0">
      <selection activeCell="T9" sqref="T9"/>
    </sheetView>
  </sheetViews>
  <sheetFormatPr defaultRowHeight="15" x14ac:dyDescent="0.25"/>
  <cols>
    <col min="1" max="1" width="12.5703125" customWidth="1"/>
    <col min="2" max="2" width="14.42578125" customWidth="1"/>
    <col min="3" max="3" width="14.5703125" customWidth="1"/>
    <col min="14" max="14" width="16.7109375" customWidth="1"/>
    <col min="15" max="15" width="9.140625" hidden="1" customWidth="1"/>
    <col min="16" max="16" width="19.42578125" customWidth="1"/>
    <col min="17" max="17" width="22.85546875" customWidth="1"/>
  </cols>
  <sheetData>
    <row r="1" spans="15:20" ht="15.75" x14ac:dyDescent="0.25">
      <c r="O1" s="6" t="s">
        <v>34</v>
      </c>
      <c r="P1" s="7"/>
      <c r="Q1" s="7"/>
      <c r="R1" s="7"/>
      <c r="S1" s="7"/>
      <c r="T1" s="7"/>
    </row>
    <row r="3" spans="15:20" ht="15.75" x14ac:dyDescent="0.25">
      <c r="P3" s="8" t="s">
        <v>30</v>
      </c>
      <c r="Q3" s="11">
        <f>SUM(SalesData[Sales])</f>
        <v>51704</v>
      </c>
    </row>
    <row r="4" spans="15:20" ht="15.75" x14ac:dyDescent="0.25">
      <c r="P4" s="9" t="s">
        <v>31</v>
      </c>
      <c r="Q4" s="12">
        <f>COUNTA(SalesData[OrderID])</f>
        <v>100</v>
      </c>
    </row>
    <row r="5" spans="15:20" ht="15.75" x14ac:dyDescent="0.25">
      <c r="P5" s="8" t="s">
        <v>33</v>
      </c>
      <c r="Q5" s="11">
        <f>AVERAGE((SalesData[Sales]))</f>
        <v>517.04</v>
      </c>
    </row>
    <row r="6" spans="15:20" ht="15.75" x14ac:dyDescent="0.25">
      <c r="P6" s="9" t="s">
        <v>32</v>
      </c>
      <c r="Q6" s="10" t="str">
        <f>INDEX(SalesData[Product], MATCH(MAX(SalesData[Sales]), SalesData[Sales], 0))</f>
        <v>Laptop</v>
      </c>
    </row>
  </sheetData>
  <mergeCells count="1">
    <mergeCell ref="O1:T1"/>
  </mergeCells>
  <phoneticPr fontId="5"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46D65-D90C-4C21-880A-C4BF32FC958C}">
  <dimension ref="A1:F101"/>
  <sheetViews>
    <sheetView tabSelected="1" workbookViewId="0">
      <selection activeCell="J9" sqref="J9"/>
    </sheetView>
  </sheetViews>
  <sheetFormatPr defaultRowHeight="15" x14ac:dyDescent="0.25"/>
  <cols>
    <col min="1" max="1" width="13.85546875" customWidth="1"/>
    <col min="2" max="2" width="17.7109375" customWidth="1"/>
    <col min="3" max="3" width="14.7109375" customWidth="1"/>
    <col min="4" max="4" width="15.140625" customWidth="1"/>
    <col min="5" max="5" width="16.5703125" customWidth="1"/>
    <col min="6" max="6" width="14.28515625" customWidth="1"/>
    <col min="9" max="9" width="17.140625" customWidth="1"/>
    <col min="10" max="10" width="53.140625" customWidth="1"/>
  </cols>
  <sheetData>
    <row r="1" spans="1:6" ht="15.75" x14ac:dyDescent="0.25">
      <c r="A1" s="1" t="s">
        <v>0</v>
      </c>
      <c r="B1" s="1" t="s">
        <v>1</v>
      </c>
      <c r="C1" s="1" t="s">
        <v>2</v>
      </c>
      <c r="D1" s="1" t="s">
        <v>3</v>
      </c>
      <c r="E1" s="1" t="s">
        <v>4</v>
      </c>
      <c r="F1" s="1" t="s">
        <v>28</v>
      </c>
    </row>
    <row r="2" spans="1:6" ht="18" customHeight="1" x14ac:dyDescent="0.25">
      <c r="A2" s="1">
        <v>2001</v>
      </c>
      <c r="B2" s="2">
        <v>46027</v>
      </c>
      <c r="C2" s="1" t="s">
        <v>5</v>
      </c>
      <c r="D2" s="1" t="s">
        <v>6</v>
      </c>
      <c r="E2" s="1">
        <v>1200</v>
      </c>
      <c r="F2" s="1" t="str">
        <f t="shared" ref="F2:F33" si="0">TEXT(B:B,"mmm")</f>
        <v>Jan</v>
      </c>
    </row>
    <row r="3" spans="1:6" ht="19.5" customHeight="1" x14ac:dyDescent="0.25">
      <c r="A3" s="1">
        <v>2002</v>
      </c>
      <c r="B3" s="2">
        <v>46034</v>
      </c>
      <c r="C3" s="1" t="s">
        <v>7</v>
      </c>
      <c r="D3" s="1" t="s">
        <v>8</v>
      </c>
      <c r="E3" s="1">
        <v>150</v>
      </c>
      <c r="F3" s="1" t="str">
        <f t="shared" si="0"/>
        <v>Jan</v>
      </c>
    </row>
    <row r="4" spans="1:6" ht="21.75" customHeight="1" x14ac:dyDescent="0.25">
      <c r="A4" s="1">
        <v>2003</v>
      </c>
      <c r="B4" s="2">
        <v>46040</v>
      </c>
      <c r="C4" s="1" t="s">
        <v>9</v>
      </c>
      <c r="D4" s="1" t="s">
        <v>10</v>
      </c>
      <c r="E4" s="1">
        <v>300</v>
      </c>
      <c r="F4" s="1" t="str">
        <f t="shared" si="0"/>
        <v>Jan</v>
      </c>
    </row>
    <row r="5" spans="1:6" ht="15.75" x14ac:dyDescent="0.25">
      <c r="A5" s="1">
        <v>2004</v>
      </c>
      <c r="B5" s="2">
        <v>46045</v>
      </c>
      <c r="C5" s="1" t="s">
        <v>11</v>
      </c>
      <c r="D5" s="1" t="s">
        <v>12</v>
      </c>
      <c r="E5" s="1">
        <v>800</v>
      </c>
      <c r="F5" s="1" t="str">
        <f t="shared" si="0"/>
        <v>Jan</v>
      </c>
    </row>
    <row r="6" spans="1:6" ht="15.75" x14ac:dyDescent="0.25">
      <c r="A6" s="1">
        <v>2005</v>
      </c>
      <c r="B6" s="2">
        <v>46050</v>
      </c>
      <c r="C6" s="1" t="s">
        <v>5</v>
      </c>
      <c r="D6" s="1" t="s">
        <v>8</v>
      </c>
      <c r="E6" s="1">
        <v>200</v>
      </c>
      <c r="F6" s="1" t="str">
        <f t="shared" si="0"/>
        <v>Jan</v>
      </c>
    </row>
    <row r="7" spans="1:6" ht="15.75" x14ac:dyDescent="0.25">
      <c r="A7" s="1">
        <v>2006</v>
      </c>
      <c r="B7" s="2">
        <v>46056</v>
      </c>
      <c r="C7" s="1" t="s">
        <v>7</v>
      </c>
      <c r="D7" s="1" t="s">
        <v>6</v>
      </c>
      <c r="E7" s="1">
        <v>1250</v>
      </c>
      <c r="F7" s="1" t="str">
        <f t="shared" si="0"/>
        <v>Feb</v>
      </c>
    </row>
    <row r="8" spans="1:6" ht="15.75" x14ac:dyDescent="0.25">
      <c r="A8" s="1">
        <v>2007</v>
      </c>
      <c r="B8" s="2">
        <v>46062</v>
      </c>
      <c r="C8" s="1" t="s">
        <v>9</v>
      </c>
      <c r="D8" s="1" t="s">
        <v>13</v>
      </c>
      <c r="E8" s="1">
        <v>90</v>
      </c>
      <c r="F8" s="1" t="str">
        <f t="shared" si="0"/>
        <v>Feb</v>
      </c>
    </row>
    <row r="9" spans="1:6" ht="15.75" x14ac:dyDescent="0.25">
      <c r="A9" s="1">
        <v>2008</v>
      </c>
      <c r="B9" s="2">
        <v>46067</v>
      </c>
      <c r="C9" s="1" t="s">
        <v>11</v>
      </c>
      <c r="D9" s="1" t="s">
        <v>10</v>
      </c>
      <c r="E9" s="1">
        <v>400</v>
      </c>
      <c r="F9" s="1" t="str">
        <f t="shared" si="0"/>
        <v>Feb</v>
      </c>
    </row>
    <row r="10" spans="1:6" ht="15.75" x14ac:dyDescent="0.25">
      <c r="A10" s="1">
        <v>2009</v>
      </c>
      <c r="B10" s="2">
        <v>46072</v>
      </c>
      <c r="C10" s="1" t="s">
        <v>5</v>
      </c>
      <c r="D10" s="1" t="s">
        <v>12</v>
      </c>
      <c r="E10" s="1">
        <v>750</v>
      </c>
      <c r="F10" s="1" t="str">
        <f t="shared" si="0"/>
        <v>Feb</v>
      </c>
    </row>
    <row r="11" spans="1:6" ht="15.75" x14ac:dyDescent="0.25">
      <c r="A11" s="1">
        <v>2010</v>
      </c>
      <c r="B11" s="2">
        <v>46077</v>
      </c>
      <c r="C11" s="1" t="s">
        <v>7</v>
      </c>
      <c r="D11" s="1" t="s">
        <v>8</v>
      </c>
      <c r="E11" s="1">
        <v>180</v>
      </c>
      <c r="F11" s="1" t="str">
        <f t="shared" si="0"/>
        <v>Feb</v>
      </c>
    </row>
    <row r="12" spans="1:6" ht="15.75" x14ac:dyDescent="0.25">
      <c r="A12" s="1">
        <v>2011</v>
      </c>
      <c r="B12" s="2">
        <v>46083</v>
      </c>
      <c r="C12" s="1" t="s">
        <v>9</v>
      </c>
      <c r="D12" s="1" t="s">
        <v>6</v>
      </c>
      <c r="E12" s="1">
        <v>1100</v>
      </c>
      <c r="F12" s="1" t="str">
        <f t="shared" si="0"/>
        <v>Mar</v>
      </c>
    </row>
    <row r="13" spans="1:6" ht="15.75" x14ac:dyDescent="0.25">
      <c r="A13" s="1">
        <v>2012</v>
      </c>
      <c r="B13" s="2">
        <v>46088</v>
      </c>
      <c r="C13" s="1" t="s">
        <v>11</v>
      </c>
      <c r="D13" s="1" t="s">
        <v>8</v>
      </c>
      <c r="E13" s="1">
        <v>120</v>
      </c>
      <c r="F13" s="1" t="str">
        <f t="shared" si="0"/>
        <v>Mar</v>
      </c>
    </row>
    <row r="14" spans="1:6" ht="15.75" x14ac:dyDescent="0.25">
      <c r="A14" s="1">
        <v>2013</v>
      </c>
      <c r="B14" s="2">
        <v>46093</v>
      </c>
      <c r="C14" s="1" t="s">
        <v>5</v>
      </c>
      <c r="D14" s="1" t="s">
        <v>10</v>
      </c>
      <c r="E14" s="1">
        <v>350</v>
      </c>
      <c r="F14" s="1" t="str">
        <f t="shared" si="0"/>
        <v>Mar</v>
      </c>
    </row>
    <row r="15" spans="1:6" ht="15.75" x14ac:dyDescent="0.25">
      <c r="A15" s="1">
        <v>2014</v>
      </c>
      <c r="B15" s="2">
        <v>46098</v>
      </c>
      <c r="C15" s="1" t="s">
        <v>7</v>
      </c>
      <c r="D15" s="1" t="s">
        <v>12</v>
      </c>
      <c r="E15" s="1">
        <v>820</v>
      </c>
      <c r="F15" s="1" t="str">
        <f t="shared" si="0"/>
        <v>Mar</v>
      </c>
    </row>
    <row r="16" spans="1:6" ht="15.75" x14ac:dyDescent="0.25">
      <c r="A16" s="1">
        <v>2015</v>
      </c>
      <c r="B16" s="2">
        <v>46103</v>
      </c>
      <c r="C16" s="1" t="s">
        <v>9</v>
      </c>
      <c r="D16" s="1" t="s">
        <v>13</v>
      </c>
      <c r="E16" s="1">
        <v>60</v>
      </c>
      <c r="F16" s="1" t="str">
        <f t="shared" si="0"/>
        <v>Mar</v>
      </c>
    </row>
    <row r="17" spans="1:6" ht="15.75" x14ac:dyDescent="0.25">
      <c r="A17" s="1">
        <v>2016</v>
      </c>
      <c r="B17" s="2">
        <v>46108</v>
      </c>
      <c r="C17" s="1" t="s">
        <v>11</v>
      </c>
      <c r="D17" s="1" t="s">
        <v>6</v>
      </c>
      <c r="E17" s="1">
        <v>1300</v>
      </c>
      <c r="F17" s="1" t="str">
        <f t="shared" si="0"/>
        <v>Mar</v>
      </c>
    </row>
    <row r="18" spans="1:6" ht="15.75" x14ac:dyDescent="0.25">
      <c r="A18" s="1">
        <v>2017</v>
      </c>
      <c r="B18" s="2">
        <v>46113</v>
      </c>
      <c r="C18" s="1" t="s">
        <v>5</v>
      </c>
      <c r="D18" s="1" t="s">
        <v>8</v>
      </c>
      <c r="E18" s="1">
        <v>210</v>
      </c>
      <c r="F18" s="1" t="str">
        <f t="shared" si="0"/>
        <v>Apr</v>
      </c>
    </row>
    <row r="19" spans="1:6" ht="15.75" x14ac:dyDescent="0.25">
      <c r="A19" s="1">
        <v>2018</v>
      </c>
      <c r="B19" s="2">
        <v>46118</v>
      </c>
      <c r="C19" s="1" t="s">
        <v>7</v>
      </c>
      <c r="D19" s="1" t="s">
        <v>10</v>
      </c>
      <c r="E19" s="1">
        <v>280</v>
      </c>
      <c r="F19" s="1" t="str">
        <f t="shared" si="0"/>
        <v>Apr</v>
      </c>
    </row>
    <row r="20" spans="1:6" ht="15.75" x14ac:dyDescent="0.25">
      <c r="A20" s="1">
        <v>2019</v>
      </c>
      <c r="B20" s="2">
        <v>46123</v>
      </c>
      <c r="C20" s="1" t="s">
        <v>9</v>
      </c>
      <c r="D20" s="1" t="s">
        <v>12</v>
      </c>
      <c r="E20" s="1">
        <v>790</v>
      </c>
      <c r="F20" s="1" t="str">
        <f t="shared" si="0"/>
        <v>Apr</v>
      </c>
    </row>
    <row r="21" spans="1:6" ht="15.75" x14ac:dyDescent="0.25">
      <c r="A21" s="1">
        <v>2020</v>
      </c>
      <c r="B21" s="2">
        <v>46128</v>
      </c>
      <c r="C21" s="1" t="s">
        <v>11</v>
      </c>
      <c r="D21" s="1" t="s">
        <v>13</v>
      </c>
      <c r="E21" s="1">
        <v>45</v>
      </c>
      <c r="F21" s="1" t="str">
        <f t="shared" si="0"/>
        <v>Apr</v>
      </c>
    </row>
    <row r="22" spans="1:6" ht="15.75" x14ac:dyDescent="0.25">
      <c r="A22" s="1">
        <v>2021</v>
      </c>
      <c r="B22" s="2">
        <v>46133</v>
      </c>
      <c r="C22" s="1" t="s">
        <v>5</v>
      </c>
      <c r="D22" s="1" t="s">
        <v>6</v>
      </c>
      <c r="E22" s="1">
        <v>1180</v>
      </c>
      <c r="F22" s="1" t="str">
        <f t="shared" si="0"/>
        <v>Apr</v>
      </c>
    </row>
    <row r="23" spans="1:6" ht="15.75" x14ac:dyDescent="0.25">
      <c r="A23" s="1">
        <v>2022</v>
      </c>
      <c r="B23" s="2">
        <v>46138</v>
      </c>
      <c r="C23" s="1" t="s">
        <v>7</v>
      </c>
      <c r="D23" s="1" t="s">
        <v>8</v>
      </c>
      <c r="E23" s="1">
        <v>170</v>
      </c>
      <c r="F23" s="1" t="str">
        <f t="shared" si="0"/>
        <v>Apr</v>
      </c>
    </row>
    <row r="24" spans="1:6" ht="15.75" x14ac:dyDescent="0.25">
      <c r="A24" s="1">
        <v>2023</v>
      </c>
      <c r="B24" s="2">
        <v>46143</v>
      </c>
      <c r="C24" s="1" t="s">
        <v>9</v>
      </c>
      <c r="D24" s="1" t="s">
        <v>10</v>
      </c>
      <c r="E24" s="1">
        <v>320</v>
      </c>
      <c r="F24" s="1" t="str">
        <f t="shared" si="0"/>
        <v>May</v>
      </c>
    </row>
    <row r="25" spans="1:6" ht="15.75" x14ac:dyDescent="0.25">
      <c r="A25" s="1">
        <v>2024</v>
      </c>
      <c r="B25" s="2">
        <v>46148</v>
      </c>
      <c r="C25" s="1" t="s">
        <v>11</v>
      </c>
      <c r="D25" s="1" t="s">
        <v>12</v>
      </c>
      <c r="E25" s="1">
        <v>840</v>
      </c>
      <c r="F25" s="1" t="str">
        <f t="shared" si="0"/>
        <v>May</v>
      </c>
    </row>
    <row r="26" spans="1:6" ht="15.75" x14ac:dyDescent="0.25">
      <c r="A26" s="1">
        <v>2025</v>
      </c>
      <c r="B26" s="2">
        <v>46153</v>
      </c>
      <c r="C26" s="1" t="s">
        <v>5</v>
      </c>
      <c r="D26" s="1" t="s">
        <v>13</v>
      </c>
      <c r="E26" s="1">
        <v>55</v>
      </c>
      <c r="F26" s="1" t="str">
        <f t="shared" si="0"/>
        <v>May</v>
      </c>
    </row>
    <row r="27" spans="1:6" ht="15.75" x14ac:dyDescent="0.25">
      <c r="A27" s="1">
        <v>2026</v>
      </c>
      <c r="B27" s="2">
        <v>46158</v>
      </c>
      <c r="C27" s="1" t="s">
        <v>7</v>
      </c>
      <c r="D27" s="1" t="s">
        <v>6</v>
      </c>
      <c r="E27" s="1">
        <v>1220</v>
      </c>
      <c r="F27" s="1" t="str">
        <f t="shared" si="0"/>
        <v>May</v>
      </c>
    </row>
    <row r="28" spans="1:6" ht="15.75" x14ac:dyDescent="0.25">
      <c r="A28" s="1">
        <v>2027</v>
      </c>
      <c r="B28" s="2">
        <v>46163</v>
      </c>
      <c r="C28" s="1" t="s">
        <v>9</v>
      </c>
      <c r="D28" s="1" t="s">
        <v>8</v>
      </c>
      <c r="E28" s="1">
        <v>190</v>
      </c>
      <c r="F28" s="1" t="str">
        <f t="shared" si="0"/>
        <v>May</v>
      </c>
    </row>
    <row r="29" spans="1:6" ht="15.75" x14ac:dyDescent="0.25">
      <c r="A29" s="1">
        <v>2028</v>
      </c>
      <c r="B29" s="2">
        <v>46168</v>
      </c>
      <c r="C29" s="1" t="s">
        <v>11</v>
      </c>
      <c r="D29" s="1" t="s">
        <v>10</v>
      </c>
      <c r="E29" s="1">
        <v>370</v>
      </c>
      <c r="F29" s="1" t="str">
        <f t="shared" si="0"/>
        <v>May</v>
      </c>
    </row>
    <row r="30" spans="1:6" ht="15.75" x14ac:dyDescent="0.25">
      <c r="A30" s="1">
        <v>2029</v>
      </c>
      <c r="B30" s="2">
        <v>46173</v>
      </c>
      <c r="C30" s="1" t="s">
        <v>5</v>
      </c>
      <c r="D30" s="1" t="s">
        <v>12</v>
      </c>
      <c r="E30" s="1">
        <v>770</v>
      </c>
      <c r="F30" s="1" t="str">
        <f t="shared" si="0"/>
        <v>May</v>
      </c>
    </row>
    <row r="31" spans="1:6" ht="15.75" x14ac:dyDescent="0.25">
      <c r="A31" s="1">
        <v>2030</v>
      </c>
      <c r="B31" s="2">
        <v>46178</v>
      </c>
      <c r="C31" s="1" t="s">
        <v>7</v>
      </c>
      <c r="D31" s="1" t="s">
        <v>13</v>
      </c>
      <c r="E31" s="1">
        <v>50</v>
      </c>
      <c r="F31" s="1" t="str">
        <f t="shared" si="0"/>
        <v>Jun</v>
      </c>
    </row>
    <row r="32" spans="1:6" ht="15.75" x14ac:dyDescent="0.25">
      <c r="A32" s="1">
        <v>2031</v>
      </c>
      <c r="B32" s="2">
        <v>46183</v>
      </c>
      <c r="C32" s="1" t="s">
        <v>9</v>
      </c>
      <c r="D32" s="1" t="s">
        <v>6</v>
      </c>
      <c r="E32" s="1">
        <v>1150</v>
      </c>
      <c r="F32" s="1" t="str">
        <f t="shared" si="0"/>
        <v>Jun</v>
      </c>
    </row>
    <row r="33" spans="1:6" ht="15.75" x14ac:dyDescent="0.25">
      <c r="A33" s="1">
        <v>2032</v>
      </c>
      <c r="B33" s="2">
        <v>46188</v>
      </c>
      <c r="C33" s="1" t="s">
        <v>11</v>
      </c>
      <c r="D33" s="1" t="s">
        <v>8</v>
      </c>
      <c r="E33" s="1">
        <v>160</v>
      </c>
      <c r="F33" s="1" t="str">
        <f t="shared" si="0"/>
        <v>Jun</v>
      </c>
    </row>
    <row r="34" spans="1:6" ht="15.75" x14ac:dyDescent="0.25">
      <c r="A34" s="1">
        <v>2033</v>
      </c>
      <c r="B34" s="2">
        <v>46193</v>
      </c>
      <c r="C34" s="1" t="s">
        <v>5</v>
      </c>
      <c r="D34" s="1" t="s">
        <v>10</v>
      </c>
      <c r="E34" s="1">
        <v>310</v>
      </c>
      <c r="F34" s="1" t="str">
        <f t="shared" ref="F34:F65" si="1">TEXT(B:B,"mmm")</f>
        <v>Jun</v>
      </c>
    </row>
    <row r="35" spans="1:6" ht="15.75" x14ac:dyDescent="0.25">
      <c r="A35" s="1">
        <v>2034</v>
      </c>
      <c r="B35" s="2">
        <v>46198</v>
      </c>
      <c r="C35" s="1" t="s">
        <v>7</v>
      </c>
      <c r="D35" s="1" t="s">
        <v>12</v>
      </c>
      <c r="E35" s="1">
        <v>810</v>
      </c>
      <c r="F35" s="1" t="str">
        <f t="shared" si="1"/>
        <v>Jun</v>
      </c>
    </row>
    <row r="36" spans="1:6" ht="15.75" x14ac:dyDescent="0.25">
      <c r="A36" s="1">
        <v>2035</v>
      </c>
      <c r="B36" s="2">
        <v>46203</v>
      </c>
      <c r="C36" s="1" t="s">
        <v>9</v>
      </c>
      <c r="D36" s="1" t="s">
        <v>13</v>
      </c>
      <c r="E36" s="1">
        <v>70</v>
      </c>
      <c r="F36" s="1" t="str">
        <f t="shared" si="1"/>
        <v>Jun</v>
      </c>
    </row>
    <row r="37" spans="1:6" ht="15.75" x14ac:dyDescent="0.25">
      <c r="A37" s="1">
        <v>2036</v>
      </c>
      <c r="B37" s="2">
        <v>46208</v>
      </c>
      <c r="C37" s="1" t="s">
        <v>11</v>
      </c>
      <c r="D37" s="1" t="s">
        <v>6</v>
      </c>
      <c r="E37" s="1">
        <v>1280</v>
      </c>
      <c r="F37" s="1" t="str">
        <f t="shared" si="1"/>
        <v>Jul</v>
      </c>
    </row>
    <row r="38" spans="1:6" ht="15.75" x14ac:dyDescent="0.25">
      <c r="A38" s="1">
        <v>2037</v>
      </c>
      <c r="B38" s="2">
        <v>46213</v>
      </c>
      <c r="C38" s="1" t="s">
        <v>5</v>
      </c>
      <c r="D38" s="1" t="s">
        <v>8</v>
      </c>
      <c r="E38" s="1">
        <v>220</v>
      </c>
      <c r="F38" s="1" t="str">
        <f t="shared" si="1"/>
        <v>Jul</v>
      </c>
    </row>
    <row r="39" spans="1:6" ht="15.75" x14ac:dyDescent="0.25">
      <c r="A39" s="1">
        <v>2038</v>
      </c>
      <c r="B39" s="2">
        <v>46218</v>
      </c>
      <c r="C39" s="1" t="s">
        <v>7</v>
      </c>
      <c r="D39" s="1" t="s">
        <v>10</v>
      </c>
      <c r="E39" s="1">
        <v>290</v>
      </c>
      <c r="F39" s="1" t="str">
        <f t="shared" si="1"/>
        <v>Jul</v>
      </c>
    </row>
    <row r="40" spans="1:6" ht="15.75" x14ac:dyDescent="0.25">
      <c r="A40" s="1">
        <v>2039</v>
      </c>
      <c r="B40" s="2">
        <v>46223</v>
      </c>
      <c r="C40" s="1" t="s">
        <v>9</v>
      </c>
      <c r="D40" s="1" t="s">
        <v>12</v>
      </c>
      <c r="E40" s="1">
        <v>800</v>
      </c>
      <c r="F40" s="1" t="str">
        <f t="shared" si="1"/>
        <v>Jul</v>
      </c>
    </row>
    <row r="41" spans="1:6" ht="15.75" x14ac:dyDescent="0.25">
      <c r="A41" s="1">
        <v>2040</v>
      </c>
      <c r="B41" s="2">
        <v>46228</v>
      </c>
      <c r="C41" s="1" t="s">
        <v>11</v>
      </c>
      <c r="D41" s="1" t="s">
        <v>13</v>
      </c>
      <c r="E41" s="1">
        <v>48</v>
      </c>
      <c r="F41" s="1" t="str">
        <f t="shared" si="1"/>
        <v>Jul</v>
      </c>
    </row>
    <row r="42" spans="1:6" ht="15.75" x14ac:dyDescent="0.25">
      <c r="A42" s="1">
        <v>2041</v>
      </c>
      <c r="B42" s="2">
        <v>46233</v>
      </c>
      <c r="C42" s="1" t="s">
        <v>5</v>
      </c>
      <c r="D42" s="1" t="s">
        <v>6</v>
      </c>
      <c r="E42" s="1">
        <v>1190</v>
      </c>
      <c r="F42" s="1" t="str">
        <f t="shared" si="1"/>
        <v>Jul</v>
      </c>
    </row>
    <row r="43" spans="1:6" ht="15.75" x14ac:dyDescent="0.25">
      <c r="A43" s="1">
        <v>2042</v>
      </c>
      <c r="B43" s="2">
        <v>46238</v>
      </c>
      <c r="C43" s="1" t="s">
        <v>7</v>
      </c>
      <c r="D43" s="1" t="s">
        <v>8</v>
      </c>
      <c r="E43" s="1">
        <v>175</v>
      </c>
      <c r="F43" s="1" t="str">
        <f t="shared" si="1"/>
        <v>Aug</v>
      </c>
    </row>
    <row r="44" spans="1:6" ht="15.75" x14ac:dyDescent="0.25">
      <c r="A44" s="1">
        <v>2043</v>
      </c>
      <c r="B44" s="2">
        <v>46243</v>
      </c>
      <c r="C44" s="1" t="s">
        <v>9</v>
      </c>
      <c r="D44" s="1" t="s">
        <v>10</v>
      </c>
      <c r="E44" s="1">
        <v>330</v>
      </c>
      <c r="F44" s="1" t="str">
        <f t="shared" si="1"/>
        <v>Aug</v>
      </c>
    </row>
    <row r="45" spans="1:6" ht="15.75" x14ac:dyDescent="0.25">
      <c r="A45" s="1">
        <v>2044</v>
      </c>
      <c r="B45" s="2">
        <v>46248</v>
      </c>
      <c r="C45" s="1" t="s">
        <v>11</v>
      </c>
      <c r="D45" s="1" t="s">
        <v>12</v>
      </c>
      <c r="E45" s="1">
        <v>830</v>
      </c>
      <c r="F45" s="1" t="str">
        <f t="shared" si="1"/>
        <v>Aug</v>
      </c>
    </row>
    <row r="46" spans="1:6" ht="15.75" x14ac:dyDescent="0.25">
      <c r="A46" s="1">
        <v>2045</v>
      </c>
      <c r="B46" s="2">
        <v>46253</v>
      </c>
      <c r="C46" s="1" t="s">
        <v>5</v>
      </c>
      <c r="D46" s="1" t="s">
        <v>13</v>
      </c>
      <c r="E46" s="1">
        <v>52</v>
      </c>
      <c r="F46" s="1" t="str">
        <f t="shared" si="1"/>
        <v>Aug</v>
      </c>
    </row>
    <row r="47" spans="1:6" ht="15.75" x14ac:dyDescent="0.25">
      <c r="A47" s="1">
        <v>2046</v>
      </c>
      <c r="B47" s="2">
        <v>46258</v>
      </c>
      <c r="C47" s="1" t="s">
        <v>7</v>
      </c>
      <c r="D47" s="1" t="s">
        <v>6</v>
      </c>
      <c r="E47" s="1">
        <v>1230</v>
      </c>
      <c r="F47" s="1" t="str">
        <f t="shared" si="1"/>
        <v>Aug</v>
      </c>
    </row>
    <row r="48" spans="1:6" ht="15.75" x14ac:dyDescent="0.25">
      <c r="A48" s="1">
        <v>2047</v>
      </c>
      <c r="B48" s="2">
        <v>46263</v>
      </c>
      <c r="C48" s="1" t="s">
        <v>9</v>
      </c>
      <c r="D48" s="1" t="s">
        <v>8</v>
      </c>
      <c r="E48" s="1">
        <v>195</v>
      </c>
      <c r="F48" s="1" t="str">
        <f t="shared" si="1"/>
        <v>Aug</v>
      </c>
    </row>
    <row r="49" spans="1:6" ht="15.75" x14ac:dyDescent="0.25">
      <c r="A49" s="1">
        <v>2048</v>
      </c>
      <c r="B49" s="2">
        <v>46268</v>
      </c>
      <c r="C49" s="1" t="s">
        <v>11</v>
      </c>
      <c r="D49" s="1" t="s">
        <v>10</v>
      </c>
      <c r="E49" s="1">
        <v>360</v>
      </c>
      <c r="F49" s="1" t="str">
        <f t="shared" si="1"/>
        <v>Sep</v>
      </c>
    </row>
    <row r="50" spans="1:6" ht="15.75" x14ac:dyDescent="0.25">
      <c r="A50" s="1">
        <v>2049</v>
      </c>
      <c r="B50" s="2">
        <v>46273</v>
      </c>
      <c r="C50" s="1" t="s">
        <v>5</v>
      </c>
      <c r="D50" s="1" t="s">
        <v>12</v>
      </c>
      <c r="E50" s="1">
        <v>760</v>
      </c>
      <c r="F50" s="1" t="str">
        <f t="shared" si="1"/>
        <v>Sep</v>
      </c>
    </row>
    <row r="51" spans="1:6" ht="15.75" x14ac:dyDescent="0.25">
      <c r="A51" s="1">
        <v>2050</v>
      </c>
      <c r="B51" s="2">
        <v>46278</v>
      </c>
      <c r="C51" s="1" t="s">
        <v>7</v>
      </c>
      <c r="D51" s="1" t="s">
        <v>13</v>
      </c>
      <c r="E51" s="1">
        <v>58</v>
      </c>
      <c r="F51" s="1" t="str">
        <f t="shared" si="1"/>
        <v>Sep</v>
      </c>
    </row>
    <row r="52" spans="1:6" ht="15.75" x14ac:dyDescent="0.25">
      <c r="A52" s="1">
        <v>2051</v>
      </c>
      <c r="B52" s="2">
        <v>46283</v>
      </c>
      <c r="C52" s="1" t="s">
        <v>9</v>
      </c>
      <c r="D52" s="1" t="s">
        <v>6</v>
      </c>
      <c r="E52" s="1">
        <v>1160</v>
      </c>
      <c r="F52" s="1" t="str">
        <f t="shared" si="1"/>
        <v>Sep</v>
      </c>
    </row>
    <row r="53" spans="1:6" ht="15.75" x14ac:dyDescent="0.25">
      <c r="A53" s="1">
        <v>2052</v>
      </c>
      <c r="B53" s="2">
        <v>46288</v>
      </c>
      <c r="C53" s="1" t="s">
        <v>11</v>
      </c>
      <c r="D53" s="1" t="s">
        <v>8</v>
      </c>
      <c r="E53" s="1">
        <v>165</v>
      </c>
      <c r="F53" s="1" t="str">
        <f t="shared" si="1"/>
        <v>Sep</v>
      </c>
    </row>
    <row r="54" spans="1:6" ht="15.75" x14ac:dyDescent="0.25">
      <c r="A54" s="1">
        <v>2053</v>
      </c>
      <c r="B54" s="2">
        <v>46293</v>
      </c>
      <c r="C54" s="1" t="s">
        <v>5</v>
      </c>
      <c r="D54" s="1" t="s">
        <v>10</v>
      </c>
      <c r="E54" s="1">
        <v>305</v>
      </c>
      <c r="F54" s="1" t="str">
        <f t="shared" si="1"/>
        <v>Sep</v>
      </c>
    </row>
    <row r="55" spans="1:6" ht="15.75" x14ac:dyDescent="0.25">
      <c r="A55" s="1">
        <v>2054</v>
      </c>
      <c r="B55" s="2">
        <v>46298</v>
      </c>
      <c r="C55" s="1" t="s">
        <v>7</v>
      </c>
      <c r="D55" s="1" t="s">
        <v>12</v>
      </c>
      <c r="E55" s="1">
        <v>815</v>
      </c>
      <c r="F55" s="1" t="str">
        <f t="shared" si="1"/>
        <v>Oct</v>
      </c>
    </row>
    <row r="56" spans="1:6" ht="15.75" x14ac:dyDescent="0.25">
      <c r="A56" s="1">
        <v>2055</v>
      </c>
      <c r="B56" s="2">
        <v>46303</v>
      </c>
      <c r="C56" s="1" t="s">
        <v>9</v>
      </c>
      <c r="D56" s="1" t="s">
        <v>13</v>
      </c>
      <c r="E56" s="1">
        <v>65</v>
      </c>
      <c r="F56" s="1" t="str">
        <f t="shared" si="1"/>
        <v>Oct</v>
      </c>
    </row>
    <row r="57" spans="1:6" ht="15.75" x14ac:dyDescent="0.25">
      <c r="A57" s="1">
        <v>2056</v>
      </c>
      <c r="B57" s="2">
        <v>46308</v>
      </c>
      <c r="C57" s="1" t="s">
        <v>11</v>
      </c>
      <c r="D57" s="1" t="s">
        <v>6</v>
      </c>
      <c r="E57" s="1">
        <v>1270</v>
      </c>
      <c r="F57" s="1" t="str">
        <f t="shared" si="1"/>
        <v>Oct</v>
      </c>
    </row>
    <row r="58" spans="1:6" ht="15.75" x14ac:dyDescent="0.25">
      <c r="A58" s="1">
        <v>2057</v>
      </c>
      <c r="B58" s="2">
        <v>46313</v>
      </c>
      <c r="C58" s="1" t="s">
        <v>5</v>
      </c>
      <c r="D58" s="1" t="s">
        <v>8</v>
      </c>
      <c r="E58" s="1">
        <v>215</v>
      </c>
      <c r="F58" s="1" t="str">
        <f t="shared" si="1"/>
        <v>Oct</v>
      </c>
    </row>
    <row r="59" spans="1:6" ht="15.75" x14ac:dyDescent="0.25">
      <c r="A59" s="1">
        <v>2058</v>
      </c>
      <c r="B59" s="2">
        <v>46318</v>
      </c>
      <c r="C59" s="1" t="s">
        <v>7</v>
      </c>
      <c r="D59" s="1" t="s">
        <v>10</v>
      </c>
      <c r="E59" s="1">
        <v>285</v>
      </c>
      <c r="F59" s="1" t="str">
        <f t="shared" si="1"/>
        <v>Oct</v>
      </c>
    </row>
    <row r="60" spans="1:6" ht="15.75" x14ac:dyDescent="0.25">
      <c r="A60" s="1">
        <v>2059</v>
      </c>
      <c r="B60" s="2">
        <v>46323</v>
      </c>
      <c r="C60" s="1" t="s">
        <v>9</v>
      </c>
      <c r="D60" s="1" t="s">
        <v>12</v>
      </c>
      <c r="E60" s="1">
        <v>795</v>
      </c>
      <c r="F60" s="1" t="str">
        <f t="shared" si="1"/>
        <v>Oct</v>
      </c>
    </row>
    <row r="61" spans="1:6" ht="15.75" x14ac:dyDescent="0.25">
      <c r="A61" s="1">
        <v>2060</v>
      </c>
      <c r="B61" s="2">
        <v>46328</v>
      </c>
      <c r="C61" s="1" t="s">
        <v>11</v>
      </c>
      <c r="D61" s="1" t="s">
        <v>13</v>
      </c>
      <c r="E61" s="1">
        <v>42</v>
      </c>
      <c r="F61" s="1" t="str">
        <f t="shared" si="1"/>
        <v>Nov</v>
      </c>
    </row>
    <row r="62" spans="1:6" ht="15.75" x14ac:dyDescent="0.25">
      <c r="A62" s="1">
        <v>2061</v>
      </c>
      <c r="B62" s="2">
        <v>46333</v>
      </c>
      <c r="C62" s="1" t="s">
        <v>5</v>
      </c>
      <c r="D62" s="1" t="s">
        <v>6</v>
      </c>
      <c r="E62" s="1">
        <v>1170</v>
      </c>
      <c r="F62" s="1" t="str">
        <f t="shared" si="1"/>
        <v>Nov</v>
      </c>
    </row>
    <row r="63" spans="1:6" ht="15.75" x14ac:dyDescent="0.25">
      <c r="A63" s="1">
        <v>2062</v>
      </c>
      <c r="B63" s="2">
        <v>46338</v>
      </c>
      <c r="C63" s="1" t="s">
        <v>7</v>
      </c>
      <c r="D63" s="1" t="s">
        <v>8</v>
      </c>
      <c r="E63" s="1">
        <v>172</v>
      </c>
      <c r="F63" s="1" t="str">
        <f t="shared" si="1"/>
        <v>Nov</v>
      </c>
    </row>
    <row r="64" spans="1:6" ht="15.75" x14ac:dyDescent="0.25">
      <c r="A64" s="1">
        <v>2063</v>
      </c>
      <c r="B64" s="2">
        <v>46343</v>
      </c>
      <c r="C64" s="1" t="s">
        <v>9</v>
      </c>
      <c r="D64" s="1" t="s">
        <v>10</v>
      </c>
      <c r="E64" s="1">
        <v>325</v>
      </c>
      <c r="F64" s="1" t="str">
        <f t="shared" si="1"/>
        <v>Nov</v>
      </c>
    </row>
    <row r="65" spans="1:6" ht="15.75" x14ac:dyDescent="0.25">
      <c r="A65" s="1">
        <v>2064</v>
      </c>
      <c r="B65" s="2">
        <v>46348</v>
      </c>
      <c r="C65" s="1" t="s">
        <v>11</v>
      </c>
      <c r="D65" s="1" t="s">
        <v>12</v>
      </c>
      <c r="E65" s="1">
        <v>835</v>
      </c>
      <c r="F65" s="1" t="str">
        <f t="shared" si="1"/>
        <v>Nov</v>
      </c>
    </row>
    <row r="66" spans="1:6" ht="15.75" x14ac:dyDescent="0.25">
      <c r="A66" s="1">
        <v>2065</v>
      </c>
      <c r="B66" s="2">
        <v>46353</v>
      </c>
      <c r="C66" s="1" t="s">
        <v>5</v>
      </c>
      <c r="D66" s="1" t="s">
        <v>13</v>
      </c>
      <c r="E66" s="1">
        <v>54</v>
      </c>
      <c r="F66" s="1" t="str">
        <f t="shared" ref="F66:F101" si="2">TEXT(B:B,"mmm")</f>
        <v>Nov</v>
      </c>
    </row>
    <row r="67" spans="1:6" ht="15.75" x14ac:dyDescent="0.25">
      <c r="A67" s="1">
        <v>2066</v>
      </c>
      <c r="B67" s="2">
        <v>46358</v>
      </c>
      <c r="C67" s="1" t="s">
        <v>7</v>
      </c>
      <c r="D67" s="1" t="s">
        <v>6</v>
      </c>
      <c r="E67" s="1">
        <v>1210</v>
      </c>
      <c r="F67" s="1" t="str">
        <f t="shared" si="2"/>
        <v>Dec</v>
      </c>
    </row>
    <row r="68" spans="1:6" ht="15.75" x14ac:dyDescent="0.25">
      <c r="A68" s="1">
        <v>2067</v>
      </c>
      <c r="B68" s="2">
        <v>46363</v>
      </c>
      <c r="C68" s="1" t="s">
        <v>9</v>
      </c>
      <c r="D68" s="1" t="s">
        <v>8</v>
      </c>
      <c r="E68" s="1">
        <v>185</v>
      </c>
      <c r="F68" s="1" t="str">
        <f t="shared" si="2"/>
        <v>Dec</v>
      </c>
    </row>
    <row r="69" spans="1:6" ht="15.75" x14ac:dyDescent="0.25">
      <c r="A69" s="1">
        <v>2068</v>
      </c>
      <c r="B69" s="2">
        <v>46368</v>
      </c>
      <c r="C69" s="1" t="s">
        <v>11</v>
      </c>
      <c r="D69" s="1" t="s">
        <v>10</v>
      </c>
      <c r="E69" s="1">
        <v>365</v>
      </c>
      <c r="F69" s="1" t="str">
        <f t="shared" si="2"/>
        <v>Dec</v>
      </c>
    </row>
    <row r="70" spans="1:6" ht="15.75" x14ac:dyDescent="0.25">
      <c r="A70" s="1">
        <v>2069</v>
      </c>
      <c r="B70" s="2">
        <v>46373</v>
      </c>
      <c r="C70" s="1" t="s">
        <v>5</v>
      </c>
      <c r="D70" s="1" t="s">
        <v>12</v>
      </c>
      <c r="E70" s="1">
        <v>775</v>
      </c>
      <c r="F70" s="1" t="str">
        <f t="shared" si="2"/>
        <v>Dec</v>
      </c>
    </row>
    <row r="71" spans="1:6" ht="15.75" x14ac:dyDescent="0.25">
      <c r="A71" s="1">
        <v>2070</v>
      </c>
      <c r="B71" s="2">
        <v>46378</v>
      </c>
      <c r="C71" s="1" t="s">
        <v>7</v>
      </c>
      <c r="D71" s="1" t="s">
        <v>13</v>
      </c>
      <c r="E71" s="1">
        <v>48</v>
      </c>
      <c r="F71" s="1" t="str">
        <f t="shared" si="2"/>
        <v>Dec</v>
      </c>
    </row>
    <row r="72" spans="1:6" ht="15.75" x14ac:dyDescent="0.25">
      <c r="A72" s="1">
        <v>2071</v>
      </c>
      <c r="B72" s="2">
        <v>46025</v>
      </c>
      <c r="C72" s="1" t="s">
        <v>9</v>
      </c>
      <c r="D72" s="1" t="s">
        <v>6</v>
      </c>
      <c r="E72" s="1">
        <v>1140</v>
      </c>
      <c r="F72" s="1" t="str">
        <f t="shared" si="2"/>
        <v>Jan</v>
      </c>
    </row>
    <row r="73" spans="1:6" ht="15.75" x14ac:dyDescent="0.25">
      <c r="A73" s="1">
        <v>2072</v>
      </c>
      <c r="B73" s="2">
        <v>46032</v>
      </c>
      <c r="C73" s="1" t="s">
        <v>11</v>
      </c>
      <c r="D73" s="1" t="s">
        <v>8</v>
      </c>
      <c r="E73" s="1">
        <v>155</v>
      </c>
      <c r="F73" s="1" t="str">
        <f t="shared" si="2"/>
        <v>Jan</v>
      </c>
    </row>
    <row r="74" spans="1:6" ht="15.75" x14ac:dyDescent="0.25">
      <c r="A74" s="1">
        <v>2073</v>
      </c>
      <c r="B74" s="2">
        <v>46037</v>
      </c>
      <c r="C74" s="1" t="s">
        <v>5</v>
      </c>
      <c r="D74" s="1" t="s">
        <v>10</v>
      </c>
      <c r="E74" s="1">
        <v>340</v>
      </c>
      <c r="F74" s="1" t="str">
        <f t="shared" si="2"/>
        <v>Jan</v>
      </c>
    </row>
    <row r="75" spans="1:6" ht="15.75" x14ac:dyDescent="0.25">
      <c r="A75" s="1">
        <v>2074</v>
      </c>
      <c r="B75" s="2">
        <v>46043</v>
      </c>
      <c r="C75" s="1" t="s">
        <v>7</v>
      </c>
      <c r="D75" s="1" t="s">
        <v>12</v>
      </c>
      <c r="E75" s="1">
        <v>845</v>
      </c>
      <c r="F75" s="1" t="str">
        <f t="shared" si="2"/>
        <v>Jan</v>
      </c>
    </row>
    <row r="76" spans="1:6" ht="15.75" x14ac:dyDescent="0.25">
      <c r="A76" s="1">
        <v>2075</v>
      </c>
      <c r="B76" s="2">
        <v>46051</v>
      </c>
      <c r="C76" s="1" t="s">
        <v>9</v>
      </c>
      <c r="D76" s="1" t="s">
        <v>13</v>
      </c>
      <c r="E76" s="1">
        <v>72</v>
      </c>
      <c r="F76" s="1" t="str">
        <f t="shared" si="2"/>
        <v>Jan</v>
      </c>
    </row>
    <row r="77" spans="1:6" ht="15.75" x14ac:dyDescent="0.25">
      <c r="A77" s="1">
        <v>2076</v>
      </c>
      <c r="B77" s="2">
        <v>46058</v>
      </c>
      <c r="C77" s="1" t="s">
        <v>11</v>
      </c>
      <c r="D77" s="1" t="s">
        <v>6</v>
      </c>
      <c r="E77" s="1">
        <v>1290</v>
      </c>
      <c r="F77" s="1" t="str">
        <f t="shared" si="2"/>
        <v>Feb</v>
      </c>
    </row>
    <row r="78" spans="1:6" ht="15.75" x14ac:dyDescent="0.25">
      <c r="A78" s="1">
        <v>2077</v>
      </c>
      <c r="B78" s="2">
        <v>46065</v>
      </c>
      <c r="C78" s="1" t="s">
        <v>5</v>
      </c>
      <c r="D78" s="1" t="s">
        <v>8</v>
      </c>
      <c r="E78" s="1">
        <v>225</v>
      </c>
      <c r="F78" s="1" t="str">
        <f t="shared" si="2"/>
        <v>Feb</v>
      </c>
    </row>
    <row r="79" spans="1:6" ht="15.75" x14ac:dyDescent="0.25">
      <c r="A79" s="1">
        <v>2078</v>
      </c>
      <c r="B79" s="2">
        <v>46071</v>
      </c>
      <c r="C79" s="1" t="s">
        <v>7</v>
      </c>
      <c r="D79" s="1" t="s">
        <v>10</v>
      </c>
      <c r="E79" s="1">
        <v>295</v>
      </c>
      <c r="F79" s="1" t="str">
        <f t="shared" si="2"/>
        <v>Feb</v>
      </c>
    </row>
    <row r="80" spans="1:6" ht="15.75" x14ac:dyDescent="0.25">
      <c r="A80" s="1">
        <v>2079</v>
      </c>
      <c r="B80" s="2">
        <v>46078</v>
      </c>
      <c r="C80" s="1" t="s">
        <v>9</v>
      </c>
      <c r="D80" s="1" t="s">
        <v>12</v>
      </c>
      <c r="E80" s="1">
        <v>805</v>
      </c>
      <c r="F80" s="1" t="str">
        <f t="shared" si="2"/>
        <v>Feb</v>
      </c>
    </row>
    <row r="81" spans="1:6" ht="15.75" x14ac:dyDescent="0.25">
      <c r="A81" s="1">
        <v>2080</v>
      </c>
      <c r="B81" s="2">
        <v>46085</v>
      </c>
      <c r="C81" s="1" t="s">
        <v>11</v>
      </c>
      <c r="D81" s="1" t="s">
        <v>13</v>
      </c>
      <c r="E81" s="1">
        <v>60</v>
      </c>
      <c r="F81" s="1" t="str">
        <f t="shared" si="2"/>
        <v>Mar</v>
      </c>
    </row>
    <row r="82" spans="1:6" ht="15.75" x14ac:dyDescent="0.25">
      <c r="A82" s="1">
        <v>2081</v>
      </c>
      <c r="B82" s="2">
        <v>46092</v>
      </c>
      <c r="C82" s="1" t="s">
        <v>5</v>
      </c>
      <c r="D82" s="1" t="s">
        <v>6</v>
      </c>
      <c r="E82" s="1">
        <v>1185</v>
      </c>
      <c r="F82" s="1" t="str">
        <f t="shared" si="2"/>
        <v>Mar</v>
      </c>
    </row>
    <row r="83" spans="1:6" ht="15.75" x14ac:dyDescent="0.25">
      <c r="A83" s="1">
        <v>2082</v>
      </c>
      <c r="B83" s="2">
        <v>46099</v>
      </c>
      <c r="C83" s="1" t="s">
        <v>7</v>
      </c>
      <c r="D83" s="1" t="s">
        <v>8</v>
      </c>
      <c r="E83" s="1">
        <v>178</v>
      </c>
      <c r="F83" s="1" t="str">
        <f t="shared" si="2"/>
        <v>Mar</v>
      </c>
    </row>
    <row r="84" spans="1:6" ht="15.75" x14ac:dyDescent="0.25">
      <c r="A84" s="1">
        <v>2083</v>
      </c>
      <c r="B84" s="2">
        <v>46105</v>
      </c>
      <c r="C84" s="1" t="s">
        <v>9</v>
      </c>
      <c r="D84" s="1" t="s">
        <v>10</v>
      </c>
      <c r="E84" s="1">
        <v>335</v>
      </c>
      <c r="F84" s="1" t="str">
        <f t="shared" si="2"/>
        <v>Mar</v>
      </c>
    </row>
    <row r="85" spans="1:6" ht="15.75" x14ac:dyDescent="0.25">
      <c r="A85" s="1">
        <v>2084</v>
      </c>
      <c r="B85" s="2">
        <v>46112</v>
      </c>
      <c r="C85" s="1" t="s">
        <v>11</v>
      </c>
      <c r="D85" s="1" t="s">
        <v>12</v>
      </c>
      <c r="E85" s="1">
        <v>825</v>
      </c>
      <c r="F85" s="1" t="str">
        <f t="shared" si="2"/>
        <v>Mar</v>
      </c>
    </row>
    <row r="86" spans="1:6" ht="15.75" x14ac:dyDescent="0.25">
      <c r="A86" s="1">
        <v>2085</v>
      </c>
      <c r="B86" s="2">
        <v>46118</v>
      </c>
      <c r="C86" s="1" t="s">
        <v>5</v>
      </c>
      <c r="D86" s="1" t="s">
        <v>13</v>
      </c>
      <c r="E86" s="1">
        <v>56</v>
      </c>
      <c r="F86" s="1" t="str">
        <f t="shared" si="2"/>
        <v>Apr</v>
      </c>
    </row>
    <row r="87" spans="1:6" ht="15.75" x14ac:dyDescent="0.25">
      <c r="A87" s="1">
        <v>2086</v>
      </c>
      <c r="B87" s="2">
        <v>46124</v>
      </c>
      <c r="C87" s="1" t="s">
        <v>7</v>
      </c>
      <c r="D87" s="1" t="s">
        <v>6</v>
      </c>
      <c r="E87" s="1">
        <v>1240</v>
      </c>
      <c r="F87" s="1" t="str">
        <f t="shared" si="2"/>
        <v>Apr</v>
      </c>
    </row>
    <row r="88" spans="1:6" ht="15.75" x14ac:dyDescent="0.25">
      <c r="A88" s="1">
        <v>2087</v>
      </c>
      <c r="B88" s="2">
        <v>46131</v>
      </c>
      <c r="C88" s="1" t="s">
        <v>9</v>
      </c>
      <c r="D88" s="1" t="s">
        <v>8</v>
      </c>
      <c r="E88" s="1">
        <v>200</v>
      </c>
      <c r="F88" s="1" t="str">
        <f t="shared" si="2"/>
        <v>Apr</v>
      </c>
    </row>
    <row r="89" spans="1:6" ht="15.75" x14ac:dyDescent="0.25">
      <c r="A89" s="1">
        <v>2088</v>
      </c>
      <c r="B89" s="2">
        <v>46137</v>
      </c>
      <c r="C89" s="1" t="s">
        <v>11</v>
      </c>
      <c r="D89" s="1" t="s">
        <v>10</v>
      </c>
      <c r="E89" s="1">
        <v>355</v>
      </c>
      <c r="F89" s="1" t="str">
        <f t="shared" si="2"/>
        <v>Apr</v>
      </c>
    </row>
    <row r="90" spans="1:6" ht="15.75" x14ac:dyDescent="0.25">
      <c r="A90" s="1">
        <v>2089</v>
      </c>
      <c r="B90" s="2">
        <v>46143</v>
      </c>
      <c r="C90" s="1" t="s">
        <v>5</v>
      </c>
      <c r="D90" s="1" t="s">
        <v>12</v>
      </c>
      <c r="E90" s="1">
        <v>765</v>
      </c>
      <c r="F90" s="1" t="str">
        <f t="shared" si="2"/>
        <v>May</v>
      </c>
    </row>
    <row r="91" spans="1:6" ht="15.75" x14ac:dyDescent="0.25">
      <c r="A91" s="1">
        <v>2090</v>
      </c>
      <c r="B91" s="2">
        <v>46150</v>
      </c>
      <c r="C91" s="1" t="s">
        <v>7</v>
      </c>
      <c r="D91" s="1" t="s">
        <v>13</v>
      </c>
      <c r="E91" s="1">
        <v>62</v>
      </c>
      <c r="F91" s="1" t="str">
        <f t="shared" si="2"/>
        <v>May</v>
      </c>
    </row>
    <row r="92" spans="1:6" ht="15.75" x14ac:dyDescent="0.25">
      <c r="A92" s="1">
        <v>2091</v>
      </c>
      <c r="B92" s="2">
        <v>46156</v>
      </c>
      <c r="C92" s="1" t="s">
        <v>9</v>
      </c>
      <c r="D92" s="1" t="s">
        <v>6</v>
      </c>
      <c r="E92" s="1">
        <v>1165</v>
      </c>
      <c r="F92" s="1" t="str">
        <f t="shared" si="2"/>
        <v>May</v>
      </c>
    </row>
    <row r="93" spans="1:6" ht="15.75" x14ac:dyDescent="0.25">
      <c r="A93" s="1">
        <v>2092</v>
      </c>
      <c r="B93" s="2">
        <v>46162</v>
      </c>
      <c r="C93" s="1" t="s">
        <v>11</v>
      </c>
      <c r="D93" s="1" t="s">
        <v>8</v>
      </c>
      <c r="E93" s="1">
        <v>168</v>
      </c>
      <c r="F93" s="1" t="str">
        <f t="shared" si="2"/>
        <v>May</v>
      </c>
    </row>
    <row r="94" spans="1:6" ht="15.75" x14ac:dyDescent="0.25">
      <c r="A94" s="1">
        <v>2093</v>
      </c>
      <c r="B94" s="2">
        <v>46169</v>
      </c>
      <c r="C94" s="1" t="s">
        <v>5</v>
      </c>
      <c r="D94" s="1" t="s">
        <v>10</v>
      </c>
      <c r="E94" s="1">
        <v>315</v>
      </c>
      <c r="F94" s="1" t="str">
        <f t="shared" si="2"/>
        <v>May</v>
      </c>
    </row>
    <row r="95" spans="1:6" ht="15.75" x14ac:dyDescent="0.25">
      <c r="A95" s="1">
        <v>2094</v>
      </c>
      <c r="B95" s="2">
        <v>46175</v>
      </c>
      <c r="C95" s="1" t="s">
        <v>7</v>
      </c>
      <c r="D95" s="1" t="s">
        <v>12</v>
      </c>
      <c r="E95" s="1">
        <v>818</v>
      </c>
      <c r="F95" s="1" t="str">
        <f t="shared" si="2"/>
        <v>Jun</v>
      </c>
    </row>
    <row r="96" spans="1:6" ht="15.75" x14ac:dyDescent="0.25">
      <c r="A96" s="1">
        <v>2095</v>
      </c>
      <c r="B96" s="2">
        <v>46182</v>
      </c>
      <c r="C96" s="1" t="s">
        <v>9</v>
      </c>
      <c r="D96" s="1" t="s">
        <v>13</v>
      </c>
      <c r="E96" s="1">
        <v>68</v>
      </c>
      <c r="F96" s="1" t="str">
        <f t="shared" si="2"/>
        <v>Jun</v>
      </c>
    </row>
    <row r="97" spans="1:6" ht="15.75" x14ac:dyDescent="0.25">
      <c r="A97" s="1">
        <v>2096</v>
      </c>
      <c r="B97" s="2">
        <v>46189</v>
      </c>
      <c r="C97" s="1" t="s">
        <v>11</v>
      </c>
      <c r="D97" s="1" t="s">
        <v>6</v>
      </c>
      <c r="E97" s="1">
        <v>1260</v>
      </c>
      <c r="F97" s="1" t="str">
        <f t="shared" si="2"/>
        <v>Jun</v>
      </c>
    </row>
    <row r="98" spans="1:6" ht="15.75" x14ac:dyDescent="0.25">
      <c r="A98" s="1">
        <v>2097</v>
      </c>
      <c r="B98" s="2">
        <v>46196</v>
      </c>
      <c r="C98" s="1" t="s">
        <v>5</v>
      </c>
      <c r="D98" s="1" t="s">
        <v>8</v>
      </c>
      <c r="E98" s="1">
        <v>218</v>
      </c>
      <c r="F98" s="1" t="str">
        <f t="shared" si="2"/>
        <v>Jun</v>
      </c>
    </row>
    <row r="99" spans="1:6" ht="15.75" x14ac:dyDescent="0.25">
      <c r="A99" s="1">
        <v>2098</v>
      </c>
      <c r="B99" s="2">
        <v>46203</v>
      </c>
      <c r="C99" s="1" t="s">
        <v>7</v>
      </c>
      <c r="D99" s="1" t="s">
        <v>10</v>
      </c>
      <c r="E99" s="1">
        <v>288</v>
      </c>
      <c r="F99" s="1" t="str">
        <f t="shared" si="2"/>
        <v>Jun</v>
      </c>
    </row>
    <row r="100" spans="1:6" ht="15.75" x14ac:dyDescent="0.25">
      <c r="A100" s="1">
        <v>2099</v>
      </c>
      <c r="B100" s="2">
        <v>46210</v>
      </c>
      <c r="C100" s="1" t="s">
        <v>9</v>
      </c>
      <c r="D100" s="1" t="s">
        <v>12</v>
      </c>
      <c r="E100" s="1">
        <v>798</v>
      </c>
      <c r="F100" s="1" t="str">
        <f t="shared" si="2"/>
        <v>Jul</v>
      </c>
    </row>
    <row r="101" spans="1:6" ht="15.75" x14ac:dyDescent="0.25">
      <c r="A101" s="1">
        <v>2100</v>
      </c>
      <c r="B101" s="2">
        <v>46217</v>
      </c>
      <c r="C101" s="1" t="s">
        <v>11</v>
      </c>
      <c r="D101" s="1" t="s">
        <v>13</v>
      </c>
      <c r="E101" s="1">
        <v>44</v>
      </c>
      <c r="F101" s="1" t="str">
        <f t="shared" si="2"/>
        <v>Jul</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 </vt:lpstr>
      <vt:lpstr>Dashboard</vt:lpstr>
      <vt:lpstr>Table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Ofosu Boadi</dc:creator>
  <cp:lastModifiedBy>Michael Ofosu Boadi</cp:lastModifiedBy>
  <dcterms:created xsi:type="dcterms:W3CDTF">2026-05-09T21:44:32Z</dcterms:created>
  <dcterms:modified xsi:type="dcterms:W3CDTF">2026-05-09T22:51:37Z</dcterms:modified>
</cp:coreProperties>
</file>